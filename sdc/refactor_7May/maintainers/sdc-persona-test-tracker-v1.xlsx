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uns" sheetId="2" state="visible" r:id="rId4"/>
    <sheet name="Scripts" sheetId="3" state="visible" r:id="rId5"/>
    <sheet name="Probes" sheetId="4" state="visible" r:id="rId6"/>
    <sheet name="Executions" sheetId="5" state="visible" r:id="rId7"/>
    <sheet name="ProbeResults" sheetId="6" state="visible" r:id="rId8"/>
    <sheet name="Defects" sheetId="7" state="visible" r:id="rId9"/>
    <sheet name="RunPlan" sheetId="8" state="visible" r:id="rId10"/>
    <sheet name="Dashboard" sheetId="9" state="visible" r:id="rId11"/>
  </sheets>
  <definedNames>
    <definedName function="false" hidden="false" name="ProbeIDs" vbProcedure="false">Probes!$A$2:$A$14</definedName>
    <definedName function="false" hidden="false" name="RunIDs" vbProcedure="false">Runs!$A$2:$A$40</definedName>
    <definedName function="false" hidden="false" name="ScriptIDs" vbProcedure="false">Scripts!$A$2:$A$18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<sst xmlns="http://schemas.openxmlformats.org/spreadsheetml/2006/main" count="280" uniqueCount="197">
  <si>
    <t xml:space="preserve">SDC Persona UAT Tracker — v1</t>
  </si>
  <si>
    <t xml:space="preserve">Companion to sdc-persona-test-scripts-v1.md. The doc holds the scripts; this workbook records runs and computes the roll-up.</t>
  </si>
  <si>
    <t xml:space="preserve">Tab colors</t>
  </si>
  <si>
    <t xml:space="preserve">BLUE tabs = input (you type here): Runs, Executions, ProbeResults, Defects. One fact per row; never merge cells.</t>
  </si>
  <si>
    <t xml:space="preserve">GREEN tabs = reference registers seeded from the v1 doc: Scripts, Probes. Edit only when the doc changes.</t>
  </si>
  <si>
    <t xml:space="preserve">ORANGE tabs = derived, formulas only: RunPlan, Dashboard. Do not type in these except the yellow lever cells.</t>
  </si>
  <si>
    <t xml:space="preserve">Workflow per run</t>
  </si>
  <si>
    <t xml:space="preserve">1. Runs — add one row per run. The pre-flight card (E1–E5 from the doc) is columns E–I; the Dashboard slices by these answers.</t>
  </si>
  <si>
    <t xml:space="preserve">2. RunPlan — pick the run in the yellow cell B1. The sheet lists all 17 scripts and computes: runnable vs GATED (from that run's E2/E4 answers), executions logged, best completion, mean SEQ, probe accuracy. This is the live checklist to drive a session.</t>
  </si>
  <si>
    <t xml:space="preserve">3. Executions — one row per script execution (tester, completion U/A/F, duration in minutes, error count, SEQ 1–7).</t>
  </si>
  <si>
    <t xml:space="preserve">4. ProbeResults — one row per probe asked, scored 0 / 0.5 / 1 against the key on the Probes sheet.</t>
  </si>
  <si>
    <t xml:space="preserve">5. Defects — one row per anomaly. Severity uses full words (Blocker / Major / Minor) rather than the doc's B/M/m because COUNTIFS is case-insensitive and cannot tell M from m.</t>
  </si>
  <si>
    <t xml:space="preserve">6. Dashboard — one computed row per run: unaided completion rate, mean and floor SEQ, probe accuracy (with P4 and P5 — the pilot's thesis probes — reported individually), defect counts. Targets in the yellow row 2 are tunable levers; conditional formatting flags misses.</t>
  </si>
  <si>
    <t xml:space="preserve">Conventions and limits</t>
  </si>
  <si>
    <t xml:space="preserve">Aggregation formulas cover input rows 2–500 (Defects 2–300). Beyond that, extend the ranges.</t>
  </si>
  <si>
    <t xml:space="preserve">Derived lookup columns (Executions J, ProbeResults F–G) are pre-filled to row 200; copy the last formula down if you pass it.</t>
  </si>
  <si>
    <t xml:space="preserve">Adding a script: append to Scripts, extend the ScriptIDs defined name, add a matching RunPlan row, and widen the Scripts range inside Dashboard column F (scripts covered).</t>
  </si>
  <si>
    <t xml:space="preserve">Row 2 of every input sheet is a worked example (run R0-example) so the formulas demonstrably work. Delete those rows before the first real run.</t>
  </si>
  <si>
    <t xml:space="preserve">Assumption: one tester per execution row; a re-run of the same script in the same run is a second row, and RunPlan shows the best completion achieved (U beats A beats F).</t>
  </si>
  <si>
    <t xml:space="preserve">run_id</t>
  </si>
  <si>
    <t xml:space="preserve">date</t>
  </si>
  <si>
    <t xml:space="preserve">build / tag</t>
  </si>
  <si>
    <t xml:space="preserve">coordinator</t>
  </si>
  <si>
    <t xml:space="preserve">E1 mode</t>
  </si>
  <si>
    <t xml:space="preserve">E2 Q1(b) fix live?</t>
  </si>
  <si>
    <t xml:space="preserve">E3 WFA-013 fix live?</t>
  </si>
  <si>
    <t xml:space="preserve">E4 seed gate built?</t>
  </si>
  <si>
    <t xml:space="preserve">E5 reminders built?</t>
  </si>
  <si>
    <t xml:space="preserve">notes</t>
  </si>
  <si>
    <t xml:space="preserve">R0-example</t>
  </si>
  <si>
    <t xml:space="preserve">2026-07-22</t>
  </si>
  <si>
    <t xml:space="preserve">v121-pilot</t>
  </si>
  <si>
    <t xml:space="preserve">Emily</t>
  </si>
  <si>
    <t xml:space="preserve">pilot</t>
  </si>
  <si>
    <t xml:space="preserve">no</t>
  </si>
  <si>
    <t xml:space="preserve">Example row — delete before first real run</t>
  </si>
  <si>
    <t xml:space="preserve">script_id</t>
  </si>
  <si>
    <t xml:space="preserve">persona</t>
  </si>
  <si>
    <t xml:space="preserve">title</t>
  </si>
  <si>
    <t xml:space="preserve">what it isolates</t>
  </si>
  <si>
    <t xml:space="preserve">probes</t>
  </si>
  <si>
    <t xml:space="preserve">expectation depends on</t>
  </si>
  <si>
    <t xml:space="preserve">requires E2</t>
  </si>
  <si>
    <t xml:space="preserve">requires E4</t>
  </si>
  <si>
    <t xml:space="preserve">hazard</t>
  </si>
  <si>
    <t xml:space="preserve">chained from</t>
  </si>
  <si>
    <t xml:space="preserve">S-01</t>
  </si>
  <si>
    <t xml:space="preserve">Supplier</t>
  </si>
  <si>
    <t xml:space="preserve">Invitation receipt and orientation</t>
  </si>
  <si>
    <t xml:space="preserve">Whether the invitation alone orients a cold supplier: the ask, the template, the portal</t>
  </si>
  <si>
    <t xml:space="preserve">P1, P2</t>
  </si>
  <si>
    <t xml:space="preserve">S-02</t>
  </si>
  <si>
    <t xml:space="preserve">Template comprehension and data entry</t>
  </si>
  <si>
    <t xml:space="preserve">The template as a self-explanatory instrument: banner, locking, dropdowns, dependent dropdowns, formats</t>
  </si>
  <si>
    <t xml:space="preserve">S-03</t>
  </si>
  <si>
    <t xml:space="preserve">First submission (clean file)</t>
  </si>
  <si>
    <t xml:space="preserve">Upload path end-to-end from the supplier's chair; post-submit messaging; pipeline latency</t>
  </si>
  <si>
    <t xml:space="preserve">P3</t>
  </si>
  <si>
    <t xml:space="preserve">S-04</t>
  </si>
  <si>
    <t xml:space="preserve">Status comprehension and information exposure</t>
  </si>
  <si>
    <t xml:space="preserve">Pilot neutrality: blind two-request comparison — supplier must not distinguish passed from failed</t>
  </si>
  <si>
    <t xml:space="preserve">P4</t>
  </si>
  <si>
    <t xml:space="preserve">E3</t>
  </si>
  <si>
    <t xml:space="preserve">S-05</t>
  </si>
  <si>
    <t xml:space="preserve">Rework loop (analyst-initiated)</t>
  </si>
  <si>
    <t xml:space="preserve">Only pilot path into SAR: notice the rework, understand the note, correct, resubmit</t>
  </si>
  <si>
    <t xml:space="preserve">P5</t>
  </si>
  <si>
    <t xml:space="preserve">A-04</t>
  </si>
  <si>
    <t xml:space="preserve">S-06</t>
  </si>
  <si>
    <t xml:space="preserve">Still-failing resubmission from rework</t>
  </si>
  <si>
    <t xml:space="preserve">The Q1(b) path: failed resubmission from supplier_action_required must not stall</t>
  </si>
  <si>
    <t xml:space="preserve">Y</t>
  </si>
  <si>
    <t xml:space="preserve">S-07</t>
  </si>
  <si>
    <t xml:space="preserve">Approval and terminal comprehension</t>
  </si>
  <si>
    <t xml:space="preserve">Closure: supplier knows they are done and stops checking; no residual calls-to-action</t>
  </si>
  <si>
    <t xml:space="preserve">P6</t>
  </si>
  <si>
    <t xml:space="preserve">A-02</t>
  </si>
  <si>
    <t xml:space="preserve">S-08</t>
  </si>
  <si>
    <t xml:space="preserve">Bad-file submission (structural path)</t>
  </si>
  <si>
    <t xml:space="preserve">Graceful handling of natural wrong files: unmodified template, wrong type, wrong spreadsheet</t>
  </si>
  <si>
    <t xml:space="preserve">P7</t>
  </si>
  <si>
    <t xml:space="preserve">S-09</t>
  </si>
  <si>
    <t xml:space="preserve">Expired template link (known-gap probe)</t>
  </si>
  <si>
    <t xml:space="preserve">Documents the 10-day TTL failure experience ahead of the Workflow 7 build; not pass/fail</t>
  </si>
  <si>
    <t xml:space="preserve">E5</t>
  </si>
  <si>
    <t xml:space="preserve">A-01</t>
  </si>
  <si>
    <t xml:space="preserve">Analyst</t>
  </si>
  <si>
    <t xml:space="preserve">Queue discovery and triage</t>
  </si>
  <si>
    <t xml:space="preserve">The dashboard's first question — what needs me right now — answered accurately at a glance</t>
  </si>
  <si>
    <t xml:space="preserve">P8</t>
  </si>
  <si>
    <t xml:space="preserve">Review and approve a clean submission</t>
  </si>
  <si>
    <t xml:space="preserve">Happy-path decision with a consistent world after: state, approved snapshot, note, history</t>
  </si>
  <si>
    <t xml:space="preserve">A-03</t>
  </si>
  <si>
    <t xml:space="preserve">Review a failed submission</t>
  </si>
  <si>
    <t xml:space="preserve">The pilot's asymmetry: analyst sees verdict, counts, and line errors the supplier must not</t>
  </si>
  <si>
    <t xml:space="preserve">P9, P10</t>
  </si>
  <si>
    <t xml:space="preserve">Request rework with a note</t>
  </si>
  <si>
    <t xml:space="preserve">The analyst-to-supplier handoff; the note written here keys the supplier's P5 probe</t>
  </si>
  <si>
    <t xml:space="preserve">A-05</t>
  </si>
  <si>
    <t xml:space="preserve">Full-cycle history integrity</t>
  </si>
  <si>
    <t xml:space="preserve">After rework, resubmit, approve: the record tells the whole story, incl. which file was approved</t>
  </si>
  <si>
    <t xml:space="preserve">P11</t>
  </si>
  <si>
    <t xml:space="preserve">A-04, S-05, A-02</t>
  </si>
  <si>
    <t xml:space="preserve">A-06</t>
  </si>
  <si>
    <t xml:space="preserve">Seeded-data review gate</t>
  </si>
  <si>
    <t xml:space="preserve">PII gate: approval binds to bytes; invitation blocked with zero side effects; reseed voids approval</t>
  </si>
  <si>
    <t xml:space="preserve">P12</t>
  </si>
  <si>
    <t xml:space="preserve">A-07</t>
  </si>
  <si>
    <t xml:space="preserve">Validation report actionability</t>
  </si>
  <si>
    <t xml:space="preserve">The report artifact alone: every error translatable into a supplier-fixable instruction</t>
  </si>
  <si>
    <t xml:space="preserve">P13</t>
  </si>
  <si>
    <t xml:space="preserve">A-08</t>
  </si>
  <si>
    <t xml:space="preserve">Guard behavior on out-of-order actions</t>
  </si>
  <si>
    <t xml:space="preserve">System manners at the wrong time: refusal with a reason, no partial writes, no silent no-ops</t>
  </si>
  <si>
    <t xml:space="preserve">probe_id</t>
  </si>
  <si>
    <t xml:space="preserve">question (asked before any coordinator info)</t>
  </si>
  <si>
    <t xml:space="preserve">answer key / scoring basis</t>
  </si>
  <si>
    <t xml:space="preserve">thesis-critical</t>
  </si>
  <si>
    <t xml:space="preserve">P1</t>
  </si>
  <si>
    <t xml:space="preserve">In one sentence, what are you being asked to do, and by when?</t>
  </si>
  <si>
    <t xml:space="preserve">Matches the invitation's actual ask and deadline</t>
  </si>
  <si>
    <t xml:space="preserve">P2</t>
  </si>
  <si>
    <t xml:space="preserve">What status does the portal show, and what does it mean you should do?</t>
  </si>
  <si>
    <t xml:space="preserve">Reflects the 'sent' derivation: action is with the supplier — complete and submit</t>
  </si>
  <si>
    <t xml:space="preserve">What happens next? Do you need to do anything?</t>
  </si>
  <si>
    <t xml:space="preserve">Nothing — it's with them now (under review)</t>
  </si>
  <si>
    <t xml:space="preserve">Per request: did it pass or fail their checks? How can you tell?</t>
  </si>
  <si>
    <t xml:space="preserve">Cannot tell — both requests read identically (score 0 if the tester distinguishes them)</t>
  </si>
  <si>
    <t xml:space="preserve">What went wrong, and what exactly do you need to change?</t>
  </si>
  <si>
    <t xml:space="preserve">Scored against the specific rework note staged in A-04</t>
  </si>
  <si>
    <t xml:space="preserve">Is there anything left for you to do on this request — now or later?</t>
  </si>
  <si>
    <t xml:space="preserve">No — complete</t>
  </si>
  <si>
    <t xml:space="preserve">Per bad file: did that work? What should you do now?</t>
  </si>
  <si>
    <t xml:space="preserve">Tester correctly infers their next move from the surfaced outcome</t>
  </si>
  <si>
    <t xml:space="preserve">How many items need your action right now? Which ones?</t>
  </si>
  <si>
    <t xml:space="preserve">Pilot: 2 (both pending_review). Default mode: 1 (failed items auto-returned)</t>
  </si>
  <si>
    <t xml:space="preserve">P9</t>
  </si>
  <si>
    <t xml:space="preserve">Did this submission pass the automated checks? How many problems were found?</t>
  </si>
  <si>
    <t xml:space="preserve">Failed; count matches the coordinator's planted-error key</t>
  </si>
  <si>
    <t xml:space="preserve">P10</t>
  </si>
  <si>
    <t xml:space="preserve">Would you approve this, or send it back? Why?</t>
  </si>
  <si>
    <t xml:space="preserve">Rework, citing at least one planted error specifically</t>
  </si>
  <si>
    <t xml:space="preserve">Reconstruct what happened on this request, in order, with dates.</t>
  </si>
  <si>
    <t xml:space="preserve">Matches the coordinator's staged timeline: both submissions, both decisions, right order</t>
  </si>
  <si>
    <t xml:space="preserve">How many seeded requests await review, and what was seeded into each?</t>
  </si>
  <si>
    <t xml:space="preserve">Exactly the staged pending item (control absent); manifest summary read without opening the file</t>
  </si>
  <si>
    <t xml:space="preserve">Are any errors ones the supplier couldn't fix from your description alone?</t>
  </si>
  <si>
    <t xml:space="preserve">Every planted error yields an actionable instruction; inexplicable ones logged as catalog gaps</t>
  </si>
  <si>
    <t xml:space="preserve">exec_id</t>
  </si>
  <si>
    <t xml:space="preserve">tester</t>
  </si>
  <si>
    <t xml:space="preserve">completion (U/A/F)</t>
  </si>
  <si>
    <t xml:space="preserve">duration (min)</t>
  </si>
  <si>
    <t xml:space="preserve">errors</t>
  </si>
  <si>
    <t xml:space="preserve">SEQ (1-7)</t>
  </si>
  <si>
    <t xml:space="preserve">persona (auto)</t>
  </si>
  <si>
    <t xml:space="preserve">EX-001</t>
  </si>
  <si>
    <t xml:space="preserve">T. Tester</t>
  </si>
  <si>
    <t xml:space="preserve">U</t>
  </si>
  <si>
    <t xml:space="preserve">score (0/0.5/1)</t>
  </si>
  <si>
    <t xml:space="preserve">evidence / tester's answer</t>
  </si>
  <si>
    <t xml:space="preserve">script (auto)</t>
  </si>
  <si>
    <t xml:space="preserve">critical (auto)</t>
  </si>
  <si>
    <t xml:space="preserve">Stated the ask and deadline correctly (example)</t>
  </si>
  <si>
    <t xml:space="preserve">Knew the action was theirs; missed the deadline (example)</t>
  </si>
  <si>
    <t xml:space="preserve">defect_id</t>
  </si>
  <si>
    <t xml:space="preserve">step</t>
  </si>
  <si>
    <t xml:space="preserve">description</t>
  </si>
  <si>
    <t xml:space="preserve">severity</t>
  </si>
  <si>
    <t xml:space="preserve">tag</t>
  </si>
  <si>
    <t xml:space="preserve">status</t>
  </si>
  <si>
    <t xml:space="preserve">D-001</t>
  </si>
  <si>
    <t xml:space="preserve">3</t>
  </si>
  <si>
    <t xml:space="preserve">Template link needed two clicks; first opened a preview with no download control (example row — delete)</t>
  </si>
  <si>
    <t xml:space="preserve">Minor</t>
  </si>
  <si>
    <t xml:space="preserve">open</t>
  </si>
  <si>
    <t xml:space="preserve">Selected run:</t>
  </si>
  <si>
    <t xml:space="preserve">Mode:</t>
  </si>
  <si>
    <t xml:space="preserve">E2 fix:</t>
  </si>
  <si>
    <t xml:space="preserve">E3 fix:</t>
  </si>
  <si>
    <t xml:space="preserve">E4 gate:</t>
  </si>
  <si>
    <t xml:space="preserve">E5:</t>
  </si>
  <si>
    <t xml:space="preserve">runnable?</t>
  </si>
  <si>
    <t xml:space="preserve">executions</t>
  </si>
  <si>
    <t xml:space="preserve">best completion</t>
  </si>
  <si>
    <t xml:space="preserve">mean SEQ</t>
  </si>
  <si>
    <t xml:space="preserve">probe accuracy</t>
  </si>
  <si>
    <t xml:space="preserve">Per-run roll-up — one row per run; compare rows to compare builds</t>
  </si>
  <si>
    <t xml:space="preserve">Targets (tunable):</t>
  </si>
  <si>
    <t xml:space="preserve">mode</t>
  </si>
  <si>
    <t xml:space="preserve">scripts covered</t>
  </si>
  <si>
    <t xml:space="preserve">unaided rate</t>
  </si>
  <si>
    <t xml:space="preserve">floor SEQ</t>
  </si>
  <si>
    <t xml:space="preserve">P4 (no-leak)</t>
  </si>
  <si>
    <t xml:space="preserve">P5 (handoff)</t>
  </si>
  <si>
    <t xml:space="preserve">Blockers</t>
  </si>
  <si>
    <t xml:space="preserve">Majors</t>
  </si>
  <si>
    <t xml:space="preserve">Minors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</si>
</sst>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%"/>
    <numFmt numFmtId="167" formatCode="0"/>
    <numFmt numFmtId="168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B4A5A"/>
        <bgColor rgb="FF333399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FFFFFF"/>
        <sz val="10"/>
      </font>
      <fill>
        <patternFill>
          <bgColor rgb="FFC00000"/>
        </patternFill>
      </fill>
    </dxf>
    <dxf>
      <fill>
        <patternFill>
          <bgColor rgb="FFFFC000"/>
        </patternFill>
      </fill>
    </dxf>
    <dxf>
      <font>
        <name val="Arial"/>
        <charset val="1"/>
        <family val="0"/>
        <i val="1"/>
        <color rgb="FF808080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C00000"/>
        <sz val="10"/>
      </font>
    </dxf>
    <dxf>
      <font>
        <name val="Arial"/>
        <charset val="1"/>
        <family val="0"/>
        <i val="1"/>
        <color rgb="FF80808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C55A11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5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B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0"/>
  </cols>
  <sheetData>
    <row r="1" customFormat="false" ht="15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 t="s">
        <v>1</v>
      </c>
    </row>
    <row r="3" customFormat="false" ht="15" hidden="false" customHeight="true" outlineLevel="0" collapsed="false">
      <c r="B3" s="4"/>
    </row>
    <row r="4" customFormat="false" ht="15" hidden="false" customHeight="true" outlineLevel="0" collapsed="false">
      <c r="B4" s="5" t="s">
        <v>2</v>
      </c>
    </row>
    <row r="5" customFormat="false" ht="15" hidden="false" customHeight="true" outlineLevel="0" collapsed="false">
      <c r="B5" s="4" t="s">
        <v>3</v>
      </c>
    </row>
    <row r="6" customFormat="false" ht="15" hidden="false" customHeight="true" outlineLevel="0" collapsed="false">
      <c r="B6" s="4" t="s">
        <v>4</v>
      </c>
    </row>
    <row r="7" customFormat="false" ht="15" hidden="false" customHeight="true" outlineLevel="0" collapsed="false">
      <c r="B7" s="4" t="s">
        <v>5</v>
      </c>
    </row>
    <row r="8" customFormat="false" ht="15" hidden="false" customHeight="true" outlineLevel="0" collapsed="false">
      <c r="B8" s="4"/>
    </row>
    <row r="9" customFormat="false" ht="15" hidden="false" customHeight="true" outlineLevel="0" collapsed="false">
      <c r="B9" s="5" t="s">
        <v>6</v>
      </c>
    </row>
    <row r="10" customFormat="false" ht="15" hidden="false" customHeight="true" outlineLevel="0" collapsed="false">
      <c r="B10" s="4" t="s">
        <v>7</v>
      </c>
    </row>
    <row r="11" customFormat="false" ht="23.25" hidden="false" customHeight="true" outlineLevel="0" collapsed="false">
      <c r="B11" s="4" t="s">
        <v>8</v>
      </c>
    </row>
    <row r="12" customFormat="false" ht="15" hidden="false" customHeight="true" outlineLevel="0" collapsed="false">
      <c r="B12" s="4" t="s">
        <v>9</v>
      </c>
    </row>
    <row r="13" customFormat="false" ht="15" hidden="false" customHeight="true" outlineLevel="0" collapsed="false">
      <c r="B13" s="4" t="s">
        <v>10</v>
      </c>
    </row>
    <row r="14" customFormat="false" ht="23.25" hidden="false" customHeight="true" outlineLevel="0" collapsed="false">
      <c r="B14" s="4" t="s">
        <v>11</v>
      </c>
    </row>
    <row r="15" customFormat="false" ht="34.5" hidden="false" customHeight="true" outlineLevel="0" collapsed="false">
      <c r="B15" s="4" t="s">
        <v>12</v>
      </c>
    </row>
    <row r="16" customFormat="false" ht="15" hidden="false" customHeight="true" outlineLevel="0" collapsed="false">
      <c r="B16" s="4"/>
    </row>
    <row r="17" customFormat="false" ht="15" hidden="false" customHeight="true" outlineLevel="0" collapsed="false">
      <c r="B17" s="5" t="s">
        <v>13</v>
      </c>
    </row>
    <row r="18" customFormat="false" ht="15" hidden="false" customHeight="true" outlineLevel="0" collapsed="false">
      <c r="B18" s="4" t="s">
        <v>14</v>
      </c>
    </row>
    <row r="19" customFormat="false" ht="15" hidden="false" customHeight="true" outlineLevel="0" collapsed="false">
      <c r="B19" s="4" t="s">
        <v>15</v>
      </c>
    </row>
    <row r="20" customFormat="false" ht="23.25" hidden="false" customHeight="true" outlineLevel="0" collapsed="false">
      <c r="B20" s="4" t="s">
        <v>16</v>
      </c>
    </row>
    <row r="21" customFormat="false" ht="23.25" hidden="false" customHeight="true" outlineLevel="0" collapsed="false">
      <c r="B21" s="4" t="s">
        <v>17</v>
      </c>
    </row>
    <row r="22" customFormat="false" ht="23.25" hidden="false" customHeight="true" outlineLevel="0" collapsed="false">
      <c r="B22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9" min="6" style="1" width="13"/>
    <col collapsed="false" customWidth="true" hidden="false" outlineLevel="0" max="10" min="10" style="1" width="46"/>
  </cols>
  <sheetData>
    <row r="1" customFormat="false" ht="23.25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customFormat="false" ht="15" hidden="false" customHeight="true" outlineLevel="0" collapsed="false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34</v>
      </c>
      <c r="H2" s="7" t="s">
        <v>34</v>
      </c>
      <c r="I2" s="7" t="s">
        <v>34</v>
      </c>
      <c r="J2" s="7" t="s">
        <v>35</v>
      </c>
    </row>
  </sheetData>
  <dataValidations count="2">
    <dataValidation allowBlank="true" errorStyle="stop" operator="between" showDropDown="false" showErrorMessage="false" showInputMessage="false" sqref="E2:E40" type="list">
      <formula1>"pilot,default"</formula1>
      <formula2>0</formula2>
    </dataValidation>
    <dataValidation allowBlank="true" errorStyle="stop" operator="between" showDropDown="false" showErrorMessage="false" showInputMessage="false" sqref="F2:I4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34"/>
    <col collapsed="false" customWidth="true" hidden="false" outlineLevel="0" max="4" min="4" style="1" width="52"/>
    <col collapsed="false" customWidth="true" hidden="false" outlineLevel="0" max="5" min="5" style="1" width="10"/>
    <col collapsed="false" customWidth="true" hidden="false" outlineLevel="0" max="6" min="6" style="1" width="18"/>
    <col collapsed="false" customWidth="true" hidden="false" outlineLevel="0" max="8" min="7" style="1" width="10"/>
    <col collapsed="false" customWidth="true" hidden="false" outlineLevel="0" max="9" min="9" style="1" width="9"/>
    <col collapsed="false" customWidth="true" hidden="false" outlineLevel="0" max="10" min="10" style="1" width="14"/>
  </cols>
  <sheetData>
    <row r="1" customFormat="false" ht="23.25" hidden="false" customHeight="true" outlineLevel="0" collapsed="false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  <c r="I1" s="6" t="s">
        <v>44</v>
      </c>
      <c r="J1" s="6" t="s">
        <v>45</v>
      </c>
    </row>
    <row r="2" customFormat="false" ht="23.25" hidden="false" customHeight="true" outlineLevel="0" collapsed="false">
      <c r="A2" s="8" t="s">
        <v>46</v>
      </c>
      <c r="B2" s="8" t="s">
        <v>47</v>
      </c>
      <c r="C2" s="9" t="s">
        <v>48</v>
      </c>
      <c r="D2" s="9" t="s">
        <v>49</v>
      </c>
      <c r="E2" s="8" t="s">
        <v>50</v>
      </c>
      <c r="F2" s="8"/>
      <c r="G2" s="8"/>
      <c r="H2" s="8"/>
      <c r="I2" s="8"/>
      <c r="J2" s="8"/>
    </row>
    <row r="3" customFormat="false" ht="23.25" hidden="false" customHeight="true" outlineLevel="0" collapsed="false">
      <c r="A3" s="8" t="s">
        <v>51</v>
      </c>
      <c r="B3" s="8" t="s">
        <v>47</v>
      </c>
      <c r="C3" s="9" t="s">
        <v>52</v>
      </c>
      <c r="D3" s="9" t="s">
        <v>53</v>
      </c>
      <c r="E3" s="8"/>
      <c r="F3" s="8"/>
      <c r="G3" s="8"/>
      <c r="H3" s="8"/>
      <c r="I3" s="8"/>
      <c r="J3" s="8"/>
    </row>
    <row r="4" customFormat="false" ht="23.25" hidden="false" customHeight="true" outlineLevel="0" collapsed="false">
      <c r="A4" s="8" t="s">
        <v>54</v>
      </c>
      <c r="B4" s="8" t="s">
        <v>47</v>
      </c>
      <c r="C4" s="9" t="s">
        <v>55</v>
      </c>
      <c r="D4" s="9" t="s">
        <v>56</v>
      </c>
      <c r="E4" s="8" t="s">
        <v>57</v>
      </c>
      <c r="F4" s="8"/>
      <c r="G4" s="8"/>
      <c r="H4" s="8"/>
      <c r="I4" s="8"/>
      <c r="J4" s="8"/>
    </row>
    <row r="5" customFormat="false" ht="23.25" hidden="false" customHeight="true" outlineLevel="0" collapsed="false">
      <c r="A5" s="8" t="s">
        <v>58</v>
      </c>
      <c r="B5" s="8" t="s">
        <v>47</v>
      </c>
      <c r="C5" s="9" t="s">
        <v>59</v>
      </c>
      <c r="D5" s="9" t="s">
        <v>60</v>
      </c>
      <c r="E5" s="8" t="s">
        <v>61</v>
      </c>
      <c r="F5" s="8" t="s">
        <v>62</v>
      </c>
      <c r="G5" s="8"/>
      <c r="H5" s="8"/>
      <c r="I5" s="8"/>
      <c r="J5" s="8"/>
    </row>
    <row r="6" customFormat="false" ht="23.25" hidden="false" customHeight="true" outlineLevel="0" collapsed="false">
      <c r="A6" s="8" t="s">
        <v>63</v>
      </c>
      <c r="B6" s="8" t="s">
        <v>47</v>
      </c>
      <c r="C6" s="9" t="s">
        <v>64</v>
      </c>
      <c r="D6" s="9" t="s">
        <v>65</v>
      </c>
      <c r="E6" s="8" t="s">
        <v>66</v>
      </c>
      <c r="F6" s="8"/>
      <c r="G6" s="8"/>
      <c r="H6" s="8"/>
      <c r="I6" s="8"/>
      <c r="J6" s="8" t="s">
        <v>67</v>
      </c>
    </row>
    <row r="7" customFormat="false" ht="23.25" hidden="false" customHeight="true" outlineLevel="0" collapsed="false">
      <c r="A7" s="8" t="s">
        <v>68</v>
      </c>
      <c r="B7" s="8" t="s">
        <v>47</v>
      </c>
      <c r="C7" s="9" t="s">
        <v>69</v>
      </c>
      <c r="D7" s="9" t="s">
        <v>70</v>
      </c>
      <c r="E7" s="8"/>
      <c r="F7" s="8"/>
      <c r="G7" s="8" t="s">
        <v>71</v>
      </c>
      <c r="H7" s="8"/>
      <c r="I7" s="8" t="s">
        <v>71</v>
      </c>
      <c r="J7" s="8" t="s">
        <v>67</v>
      </c>
    </row>
    <row r="8" customFormat="false" ht="23.25" hidden="false" customHeight="true" outlineLevel="0" collapsed="false">
      <c r="A8" s="8" t="s">
        <v>72</v>
      </c>
      <c r="B8" s="8" t="s">
        <v>47</v>
      </c>
      <c r="C8" s="9" t="s">
        <v>73</v>
      </c>
      <c r="D8" s="9" t="s">
        <v>74</v>
      </c>
      <c r="E8" s="8" t="s">
        <v>75</v>
      </c>
      <c r="F8" s="8"/>
      <c r="G8" s="8"/>
      <c r="H8" s="8"/>
      <c r="I8" s="8"/>
      <c r="J8" s="8" t="s">
        <v>76</v>
      </c>
    </row>
    <row r="9" customFormat="false" ht="23.25" hidden="false" customHeight="true" outlineLevel="0" collapsed="false">
      <c r="A9" s="8" t="s">
        <v>77</v>
      </c>
      <c r="B9" s="8" t="s">
        <v>47</v>
      </c>
      <c r="C9" s="9" t="s">
        <v>78</v>
      </c>
      <c r="D9" s="9" t="s">
        <v>79</v>
      </c>
      <c r="E9" s="8" t="s">
        <v>80</v>
      </c>
      <c r="F9" s="8" t="s">
        <v>23</v>
      </c>
      <c r="G9" s="8"/>
      <c r="H9" s="8"/>
      <c r="I9" s="8"/>
      <c r="J9" s="8"/>
    </row>
    <row r="10" customFormat="false" ht="23.25" hidden="false" customHeight="true" outlineLevel="0" collapsed="false">
      <c r="A10" s="8" t="s">
        <v>81</v>
      </c>
      <c r="B10" s="8" t="s">
        <v>47</v>
      </c>
      <c r="C10" s="9" t="s">
        <v>82</v>
      </c>
      <c r="D10" s="9" t="s">
        <v>83</v>
      </c>
      <c r="E10" s="8"/>
      <c r="F10" s="8" t="s">
        <v>84</v>
      </c>
      <c r="G10" s="8"/>
      <c r="H10" s="8"/>
      <c r="I10" s="8"/>
      <c r="J10" s="8"/>
    </row>
    <row r="11" customFormat="false" ht="23.25" hidden="false" customHeight="true" outlineLevel="0" collapsed="false">
      <c r="A11" s="8" t="s">
        <v>85</v>
      </c>
      <c r="B11" s="8" t="s">
        <v>86</v>
      </c>
      <c r="C11" s="9" t="s">
        <v>87</v>
      </c>
      <c r="D11" s="9" t="s">
        <v>88</v>
      </c>
      <c r="E11" s="8" t="s">
        <v>89</v>
      </c>
      <c r="F11" s="8" t="s">
        <v>23</v>
      </c>
      <c r="G11" s="8"/>
      <c r="H11" s="8"/>
      <c r="I11" s="8"/>
      <c r="J11" s="8"/>
    </row>
    <row r="12" customFormat="false" ht="23.25" hidden="false" customHeight="true" outlineLevel="0" collapsed="false">
      <c r="A12" s="8" t="s">
        <v>76</v>
      </c>
      <c r="B12" s="8" t="s">
        <v>86</v>
      </c>
      <c r="C12" s="9" t="s">
        <v>90</v>
      </c>
      <c r="D12" s="9" t="s">
        <v>91</v>
      </c>
      <c r="E12" s="8"/>
      <c r="F12" s="8"/>
      <c r="G12" s="8"/>
      <c r="H12" s="8"/>
      <c r="I12" s="8"/>
      <c r="J12" s="8"/>
    </row>
    <row r="13" customFormat="false" ht="23.25" hidden="false" customHeight="true" outlineLevel="0" collapsed="false">
      <c r="A13" s="8" t="s">
        <v>92</v>
      </c>
      <c r="B13" s="8" t="s">
        <v>86</v>
      </c>
      <c r="C13" s="9" t="s">
        <v>93</v>
      </c>
      <c r="D13" s="9" t="s">
        <v>94</v>
      </c>
      <c r="E13" s="8" t="s">
        <v>95</v>
      </c>
      <c r="F13" s="8" t="s">
        <v>23</v>
      </c>
      <c r="G13" s="8"/>
      <c r="H13" s="8"/>
      <c r="I13" s="8"/>
      <c r="J13" s="8"/>
    </row>
    <row r="14" customFormat="false" ht="23.25" hidden="false" customHeight="true" outlineLevel="0" collapsed="false">
      <c r="A14" s="8" t="s">
        <v>67</v>
      </c>
      <c r="B14" s="8" t="s">
        <v>86</v>
      </c>
      <c r="C14" s="9" t="s">
        <v>96</v>
      </c>
      <c r="D14" s="9" t="s">
        <v>97</v>
      </c>
      <c r="E14" s="8"/>
      <c r="F14" s="8"/>
      <c r="G14" s="8"/>
      <c r="H14" s="8"/>
      <c r="I14" s="8"/>
      <c r="J14" s="8"/>
    </row>
    <row r="15" customFormat="false" ht="23.25" hidden="false" customHeight="true" outlineLevel="0" collapsed="false">
      <c r="A15" s="8" t="s">
        <v>98</v>
      </c>
      <c r="B15" s="8" t="s">
        <v>86</v>
      </c>
      <c r="C15" s="9" t="s">
        <v>99</v>
      </c>
      <c r="D15" s="9" t="s">
        <v>100</v>
      </c>
      <c r="E15" s="8" t="s">
        <v>101</v>
      </c>
      <c r="F15" s="8"/>
      <c r="G15" s="8"/>
      <c r="H15" s="8"/>
      <c r="I15" s="8"/>
      <c r="J15" s="8" t="s">
        <v>102</v>
      </c>
    </row>
    <row r="16" customFormat="false" ht="23.25" hidden="false" customHeight="true" outlineLevel="0" collapsed="false">
      <c r="A16" s="8" t="s">
        <v>103</v>
      </c>
      <c r="B16" s="8" t="s">
        <v>86</v>
      </c>
      <c r="C16" s="9" t="s">
        <v>104</v>
      </c>
      <c r="D16" s="9" t="s">
        <v>105</v>
      </c>
      <c r="E16" s="8" t="s">
        <v>106</v>
      </c>
      <c r="F16" s="8"/>
      <c r="G16" s="8"/>
      <c r="H16" s="8" t="s">
        <v>71</v>
      </c>
      <c r="I16" s="8"/>
      <c r="J16" s="8"/>
    </row>
    <row r="17" customFormat="false" ht="23.25" hidden="false" customHeight="true" outlineLevel="0" collapsed="false">
      <c r="A17" s="8" t="s">
        <v>107</v>
      </c>
      <c r="B17" s="8" t="s">
        <v>86</v>
      </c>
      <c r="C17" s="9" t="s">
        <v>108</v>
      </c>
      <c r="D17" s="9" t="s">
        <v>109</v>
      </c>
      <c r="E17" s="8" t="s">
        <v>110</v>
      </c>
      <c r="F17" s="8"/>
      <c r="G17" s="8"/>
      <c r="H17" s="8"/>
      <c r="I17" s="8"/>
      <c r="J17" s="8"/>
    </row>
    <row r="18" customFormat="false" ht="23.25" hidden="false" customHeight="true" outlineLevel="0" collapsed="false">
      <c r="A18" s="8" t="s">
        <v>111</v>
      </c>
      <c r="B18" s="8" t="s">
        <v>86</v>
      </c>
      <c r="C18" s="9" t="s">
        <v>112</v>
      </c>
      <c r="D18" s="9" t="s">
        <v>113</v>
      </c>
      <c r="E18" s="8"/>
      <c r="F18" s="8"/>
      <c r="G18" s="8"/>
      <c r="H18" s="8"/>
      <c r="I18" s="8"/>
      <c r="J18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0"/>
    <col collapsed="false" customWidth="true" hidden="false" outlineLevel="0" max="4" min="3" style="1" width="52"/>
    <col collapsed="false" customWidth="true" hidden="false" outlineLevel="0" max="5" min="5" style="1" width="12"/>
  </cols>
  <sheetData>
    <row r="1" customFormat="false" ht="23.25" hidden="false" customHeight="true" outlineLevel="0" collapsed="false">
      <c r="A1" s="6" t="s">
        <v>114</v>
      </c>
      <c r="B1" s="6" t="s">
        <v>36</v>
      </c>
      <c r="C1" s="6" t="s">
        <v>115</v>
      </c>
      <c r="D1" s="6" t="s">
        <v>116</v>
      </c>
      <c r="E1" s="6" t="s">
        <v>117</v>
      </c>
    </row>
    <row r="2" customFormat="false" ht="15" hidden="false" customHeight="true" outlineLevel="0" collapsed="false">
      <c r="A2" s="8" t="s">
        <v>118</v>
      </c>
      <c r="B2" s="8" t="s">
        <v>46</v>
      </c>
      <c r="C2" s="9" t="s">
        <v>119</v>
      </c>
      <c r="D2" s="9" t="s">
        <v>120</v>
      </c>
      <c r="E2" s="8"/>
    </row>
    <row r="3" customFormat="false" ht="23.25" hidden="false" customHeight="true" outlineLevel="0" collapsed="false">
      <c r="A3" s="8" t="s">
        <v>121</v>
      </c>
      <c r="B3" s="8" t="s">
        <v>46</v>
      </c>
      <c r="C3" s="9" t="s">
        <v>122</v>
      </c>
      <c r="D3" s="9" t="s">
        <v>123</v>
      </c>
      <c r="E3" s="8"/>
    </row>
    <row r="4" customFormat="false" ht="15" hidden="false" customHeight="true" outlineLevel="0" collapsed="false">
      <c r="A4" s="8" t="s">
        <v>57</v>
      </c>
      <c r="B4" s="8" t="s">
        <v>54</v>
      </c>
      <c r="C4" s="9" t="s">
        <v>124</v>
      </c>
      <c r="D4" s="9" t="s">
        <v>125</v>
      </c>
      <c r="E4" s="8"/>
    </row>
    <row r="5" customFormat="false" ht="23.25" hidden="false" customHeight="true" outlineLevel="0" collapsed="false">
      <c r="A5" s="8" t="s">
        <v>61</v>
      </c>
      <c r="B5" s="8" t="s">
        <v>58</v>
      </c>
      <c r="C5" s="9" t="s">
        <v>126</v>
      </c>
      <c r="D5" s="9" t="s">
        <v>127</v>
      </c>
      <c r="E5" s="8" t="s">
        <v>71</v>
      </c>
    </row>
    <row r="6" customFormat="false" ht="15" hidden="false" customHeight="true" outlineLevel="0" collapsed="false">
      <c r="A6" s="8" t="s">
        <v>66</v>
      </c>
      <c r="B6" s="8" t="s">
        <v>63</v>
      </c>
      <c r="C6" s="9" t="s">
        <v>128</v>
      </c>
      <c r="D6" s="9" t="s">
        <v>129</v>
      </c>
      <c r="E6" s="8" t="s">
        <v>71</v>
      </c>
    </row>
    <row r="7" customFormat="false" ht="23.25" hidden="false" customHeight="true" outlineLevel="0" collapsed="false">
      <c r="A7" s="8" t="s">
        <v>75</v>
      </c>
      <c r="B7" s="8" t="s">
        <v>72</v>
      </c>
      <c r="C7" s="9" t="s">
        <v>130</v>
      </c>
      <c r="D7" s="9" t="s">
        <v>131</v>
      </c>
      <c r="E7" s="8"/>
    </row>
    <row r="8" customFormat="false" ht="23.25" hidden="false" customHeight="true" outlineLevel="0" collapsed="false">
      <c r="A8" s="8" t="s">
        <v>80</v>
      </c>
      <c r="B8" s="8" t="s">
        <v>77</v>
      </c>
      <c r="C8" s="9" t="s">
        <v>132</v>
      </c>
      <c r="D8" s="9" t="s">
        <v>133</v>
      </c>
      <c r="E8" s="8"/>
    </row>
    <row r="9" customFormat="false" ht="23.25" hidden="false" customHeight="true" outlineLevel="0" collapsed="false">
      <c r="A9" s="8" t="s">
        <v>89</v>
      </c>
      <c r="B9" s="8" t="s">
        <v>85</v>
      </c>
      <c r="C9" s="9" t="s">
        <v>134</v>
      </c>
      <c r="D9" s="9" t="s">
        <v>135</v>
      </c>
      <c r="E9" s="8"/>
    </row>
    <row r="10" customFormat="false" ht="23.25" hidden="false" customHeight="true" outlineLevel="0" collapsed="false">
      <c r="A10" s="8" t="s">
        <v>136</v>
      </c>
      <c r="B10" s="8" t="s">
        <v>92</v>
      </c>
      <c r="C10" s="9" t="s">
        <v>137</v>
      </c>
      <c r="D10" s="9" t="s">
        <v>138</v>
      </c>
      <c r="E10" s="8"/>
    </row>
    <row r="11" customFormat="false" ht="15" hidden="false" customHeight="true" outlineLevel="0" collapsed="false">
      <c r="A11" s="8" t="s">
        <v>139</v>
      </c>
      <c r="B11" s="8" t="s">
        <v>92</v>
      </c>
      <c r="C11" s="9" t="s">
        <v>140</v>
      </c>
      <c r="D11" s="9" t="s">
        <v>141</v>
      </c>
      <c r="E11" s="8"/>
    </row>
    <row r="12" customFormat="false" ht="23.25" hidden="false" customHeight="true" outlineLevel="0" collapsed="false">
      <c r="A12" s="8" t="s">
        <v>101</v>
      </c>
      <c r="B12" s="8" t="s">
        <v>98</v>
      </c>
      <c r="C12" s="9" t="s">
        <v>142</v>
      </c>
      <c r="D12" s="9" t="s">
        <v>143</v>
      </c>
      <c r="E12" s="8"/>
    </row>
    <row r="13" customFormat="false" ht="23.25" hidden="false" customHeight="true" outlineLevel="0" collapsed="false">
      <c r="A13" s="8" t="s">
        <v>106</v>
      </c>
      <c r="B13" s="8" t="s">
        <v>103</v>
      </c>
      <c r="C13" s="9" t="s">
        <v>144</v>
      </c>
      <c r="D13" s="9" t="s">
        <v>145</v>
      </c>
      <c r="E13" s="8"/>
    </row>
    <row r="14" customFormat="false" ht="23.25" hidden="false" customHeight="true" outlineLevel="0" collapsed="false">
      <c r="A14" s="8" t="s">
        <v>110</v>
      </c>
      <c r="B14" s="8" t="s">
        <v>107</v>
      </c>
      <c r="C14" s="9" t="s">
        <v>146</v>
      </c>
      <c r="D14" s="9" t="s">
        <v>147</v>
      </c>
      <c r="E14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14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1" min="11" style="1" width="44"/>
  </cols>
  <sheetData>
    <row r="1" customFormat="false" ht="23.25" hidden="false" customHeight="true" outlineLevel="0" collapsed="false">
      <c r="A1" s="6" t="s">
        <v>148</v>
      </c>
      <c r="B1" s="6" t="s">
        <v>19</v>
      </c>
      <c r="C1" s="6" t="s">
        <v>36</v>
      </c>
      <c r="D1" s="6" t="s">
        <v>149</v>
      </c>
      <c r="E1" s="6" t="s">
        <v>20</v>
      </c>
      <c r="F1" s="6" t="s">
        <v>150</v>
      </c>
      <c r="G1" s="6" t="s">
        <v>151</v>
      </c>
      <c r="H1" s="6" t="s">
        <v>152</v>
      </c>
      <c r="I1" s="6" t="s">
        <v>153</v>
      </c>
      <c r="J1" s="6" t="s">
        <v>154</v>
      </c>
      <c r="K1" s="6" t="s">
        <v>28</v>
      </c>
    </row>
    <row r="2" customFormat="false" ht="15" hidden="false" customHeight="true" outlineLevel="0" collapsed="false">
      <c r="A2" s="7" t="s">
        <v>155</v>
      </c>
      <c r="B2" s="7" t="s">
        <v>29</v>
      </c>
      <c r="C2" s="7" t="s">
        <v>46</v>
      </c>
      <c r="D2" s="7" t="s">
        <v>156</v>
      </c>
      <c r="E2" s="7" t="s">
        <v>30</v>
      </c>
      <c r="F2" s="7" t="s">
        <v>157</v>
      </c>
      <c r="G2" s="7" t="n">
        <v>6.5</v>
      </c>
      <c r="H2" s="7" t="n">
        <v>1</v>
      </c>
      <c r="I2" s="7" t="n">
        <v>6</v>
      </c>
      <c r="J2" s="10" t="str">
        <f aca="false">IF($C2="","",IFERROR(INDEX(Scripts!$B$2:$B$18,MATCH($C2,Scripts!$A$2:$A$18,0)),"?"))</f>
        <v>Supplier</v>
      </c>
      <c r="K2" s="7" t="s">
        <v>35</v>
      </c>
    </row>
    <row r="3" customFormat="false" ht="15" hidden="false" customHeight="true" outlineLevel="0" collapsed="false">
      <c r="J3" s="10" t="str">
        <f aca="false">IF($C3="","",IFERROR(INDEX(Scripts!$B$2:$B$18,MATCH($C3,Scripts!$A$2:$A$18,0)),"?"))</f>
        <v/>
      </c>
    </row>
    <row r="4" customFormat="false" ht="15" hidden="false" customHeight="true" outlineLevel="0" collapsed="false">
      <c r="J4" s="10" t="str">
        <f aca="false">IF($C4="","",IFERROR(INDEX(Scripts!$B$2:$B$18,MATCH($C4,Scripts!$A$2:$A$18,0)),"?"))</f>
        <v/>
      </c>
    </row>
    <row r="5" customFormat="false" ht="15" hidden="false" customHeight="true" outlineLevel="0" collapsed="false">
      <c r="J5" s="10" t="str">
        <f aca="false">IF($C5="","",IFERROR(INDEX(Scripts!$B$2:$B$18,MATCH($C5,Scripts!$A$2:$A$18,0)),"?"))</f>
        <v/>
      </c>
    </row>
    <row r="6" customFormat="false" ht="15" hidden="false" customHeight="true" outlineLevel="0" collapsed="false">
      <c r="J6" s="10" t="str">
        <f aca="false">IF($C6="","",IFERROR(INDEX(Scripts!$B$2:$B$18,MATCH($C6,Scripts!$A$2:$A$18,0)),"?"))</f>
        <v/>
      </c>
    </row>
    <row r="7" customFormat="false" ht="15" hidden="false" customHeight="true" outlineLevel="0" collapsed="false">
      <c r="J7" s="10" t="str">
        <f aca="false">IF($C7="","",IFERROR(INDEX(Scripts!$B$2:$B$18,MATCH($C7,Scripts!$A$2:$A$18,0)),"?"))</f>
        <v/>
      </c>
    </row>
    <row r="8" customFormat="false" ht="15" hidden="false" customHeight="true" outlineLevel="0" collapsed="false">
      <c r="J8" s="10" t="str">
        <f aca="false">IF($C8="","",IFERROR(INDEX(Scripts!$B$2:$B$18,MATCH($C8,Scripts!$A$2:$A$18,0)),"?"))</f>
        <v/>
      </c>
    </row>
    <row r="9" customFormat="false" ht="15" hidden="false" customHeight="true" outlineLevel="0" collapsed="false">
      <c r="J9" s="10" t="str">
        <f aca="false">IF($C9="","",IFERROR(INDEX(Scripts!$B$2:$B$18,MATCH($C9,Scripts!$A$2:$A$18,0)),"?"))</f>
        <v/>
      </c>
    </row>
    <row r="10" customFormat="false" ht="15" hidden="false" customHeight="true" outlineLevel="0" collapsed="false">
      <c r="J10" s="10" t="str">
        <f aca="false">IF($C10="","",IFERROR(INDEX(Scripts!$B$2:$B$18,MATCH($C10,Scripts!$A$2:$A$18,0)),"?"))</f>
        <v/>
      </c>
    </row>
    <row r="11" customFormat="false" ht="15" hidden="false" customHeight="true" outlineLevel="0" collapsed="false">
      <c r="J11" s="10" t="str">
        <f aca="false">IF($C11="","",IFERROR(INDEX(Scripts!$B$2:$B$18,MATCH($C11,Scripts!$A$2:$A$18,0)),"?"))</f>
        <v/>
      </c>
    </row>
    <row r="12" customFormat="false" ht="15" hidden="false" customHeight="true" outlineLevel="0" collapsed="false">
      <c r="J12" s="10" t="str">
        <f aca="false">IF($C12="","",IFERROR(INDEX(Scripts!$B$2:$B$18,MATCH($C12,Scripts!$A$2:$A$18,0)),"?"))</f>
        <v/>
      </c>
    </row>
    <row r="13" customFormat="false" ht="15" hidden="false" customHeight="true" outlineLevel="0" collapsed="false">
      <c r="J13" s="10" t="str">
        <f aca="false">IF($C13="","",IFERROR(INDEX(Scripts!$B$2:$B$18,MATCH($C13,Scripts!$A$2:$A$18,0)),"?"))</f>
        <v/>
      </c>
    </row>
    <row r="14" customFormat="false" ht="15" hidden="false" customHeight="true" outlineLevel="0" collapsed="false">
      <c r="J14" s="10" t="str">
        <f aca="false">IF($C14="","",IFERROR(INDEX(Scripts!$B$2:$B$18,MATCH($C14,Scripts!$A$2:$A$18,0)),"?"))</f>
        <v/>
      </c>
    </row>
    <row r="15" customFormat="false" ht="15" hidden="false" customHeight="true" outlineLevel="0" collapsed="false">
      <c r="J15" s="10" t="str">
        <f aca="false">IF($C15="","",IFERROR(INDEX(Scripts!$B$2:$B$18,MATCH($C15,Scripts!$A$2:$A$18,0)),"?"))</f>
        <v/>
      </c>
    </row>
    <row r="16" customFormat="false" ht="15" hidden="false" customHeight="true" outlineLevel="0" collapsed="false">
      <c r="J16" s="10" t="str">
        <f aca="false">IF($C16="","",IFERROR(INDEX(Scripts!$B$2:$B$18,MATCH($C16,Scripts!$A$2:$A$18,0)),"?"))</f>
        <v/>
      </c>
    </row>
    <row r="17" customFormat="false" ht="15" hidden="false" customHeight="true" outlineLevel="0" collapsed="false">
      <c r="J17" s="10" t="str">
        <f aca="false">IF($C17="","",IFERROR(INDEX(Scripts!$B$2:$B$18,MATCH($C17,Scripts!$A$2:$A$18,0)),"?"))</f>
        <v/>
      </c>
    </row>
    <row r="18" customFormat="false" ht="15" hidden="false" customHeight="true" outlineLevel="0" collapsed="false">
      <c r="J18" s="10" t="str">
        <f aca="false">IF($C18="","",IFERROR(INDEX(Scripts!$B$2:$B$18,MATCH($C18,Scripts!$A$2:$A$18,0)),"?"))</f>
        <v/>
      </c>
    </row>
    <row r="19" customFormat="false" ht="15" hidden="false" customHeight="true" outlineLevel="0" collapsed="false">
      <c r="J19" s="10" t="str">
        <f aca="false">IF($C19="","",IFERROR(INDEX(Scripts!$B$2:$B$18,MATCH($C19,Scripts!$A$2:$A$18,0)),"?"))</f>
        <v/>
      </c>
    </row>
    <row r="20" customFormat="false" ht="15" hidden="false" customHeight="true" outlineLevel="0" collapsed="false">
      <c r="J20" s="10" t="str">
        <f aca="false">IF($C20="","",IFERROR(INDEX(Scripts!$B$2:$B$18,MATCH($C20,Scripts!$A$2:$A$18,0)),"?"))</f>
        <v/>
      </c>
    </row>
    <row r="21" customFormat="false" ht="15" hidden="false" customHeight="true" outlineLevel="0" collapsed="false">
      <c r="J21" s="10" t="str">
        <f aca="false">IF($C21="","",IFERROR(INDEX(Scripts!$B$2:$B$18,MATCH($C21,Scripts!$A$2:$A$18,0)),"?"))</f>
        <v/>
      </c>
    </row>
    <row r="22" customFormat="false" ht="15" hidden="false" customHeight="true" outlineLevel="0" collapsed="false">
      <c r="J22" s="10" t="str">
        <f aca="false">IF($C22="","",IFERROR(INDEX(Scripts!$B$2:$B$18,MATCH($C22,Scripts!$A$2:$A$18,0)),"?"))</f>
        <v/>
      </c>
    </row>
    <row r="23" customFormat="false" ht="15" hidden="false" customHeight="true" outlineLevel="0" collapsed="false">
      <c r="J23" s="10" t="str">
        <f aca="false">IF($C23="","",IFERROR(INDEX(Scripts!$B$2:$B$18,MATCH($C23,Scripts!$A$2:$A$18,0)),"?"))</f>
        <v/>
      </c>
    </row>
    <row r="24" customFormat="false" ht="15" hidden="false" customHeight="true" outlineLevel="0" collapsed="false">
      <c r="J24" s="10" t="str">
        <f aca="false">IF($C24="","",IFERROR(INDEX(Scripts!$B$2:$B$18,MATCH($C24,Scripts!$A$2:$A$18,0)),"?"))</f>
        <v/>
      </c>
    </row>
    <row r="25" customFormat="false" ht="15" hidden="false" customHeight="true" outlineLevel="0" collapsed="false">
      <c r="J25" s="10" t="str">
        <f aca="false">IF($C25="","",IFERROR(INDEX(Scripts!$B$2:$B$18,MATCH($C25,Scripts!$A$2:$A$18,0)),"?"))</f>
        <v/>
      </c>
    </row>
    <row r="26" customFormat="false" ht="15" hidden="false" customHeight="true" outlineLevel="0" collapsed="false">
      <c r="J26" s="10" t="str">
        <f aca="false">IF($C26="","",IFERROR(INDEX(Scripts!$B$2:$B$18,MATCH($C26,Scripts!$A$2:$A$18,0)),"?"))</f>
        <v/>
      </c>
    </row>
    <row r="27" customFormat="false" ht="15" hidden="false" customHeight="true" outlineLevel="0" collapsed="false">
      <c r="J27" s="10" t="str">
        <f aca="false">IF($C27="","",IFERROR(INDEX(Scripts!$B$2:$B$18,MATCH($C27,Scripts!$A$2:$A$18,0)),"?"))</f>
        <v/>
      </c>
    </row>
    <row r="28" customFormat="false" ht="15" hidden="false" customHeight="true" outlineLevel="0" collapsed="false">
      <c r="J28" s="10" t="str">
        <f aca="false">IF($C28="","",IFERROR(INDEX(Scripts!$B$2:$B$18,MATCH($C28,Scripts!$A$2:$A$18,0)),"?"))</f>
        <v/>
      </c>
    </row>
    <row r="29" customFormat="false" ht="15" hidden="false" customHeight="true" outlineLevel="0" collapsed="false">
      <c r="J29" s="10" t="str">
        <f aca="false">IF($C29="","",IFERROR(INDEX(Scripts!$B$2:$B$18,MATCH($C29,Scripts!$A$2:$A$18,0)),"?"))</f>
        <v/>
      </c>
    </row>
    <row r="30" customFormat="false" ht="15" hidden="false" customHeight="true" outlineLevel="0" collapsed="false">
      <c r="J30" s="10" t="str">
        <f aca="false">IF($C30="","",IFERROR(INDEX(Scripts!$B$2:$B$18,MATCH($C30,Scripts!$A$2:$A$18,0)),"?"))</f>
        <v/>
      </c>
    </row>
    <row r="31" customFormat="false" ht="15" hidden="false" customHeight="true" outlineLevel="0" collapsed="false">
      <c r="J31" s="10" t="str">
        <f aca="false">IF($C31="","",IFERROR(INDEX(Scripts!$B$2:$B$18,MATCH($C31,Scripts!$A$2:$A$18,0)),"?"))</f>
        <v/>
      </c>
    </row>
    <row r="32" customFormat="false" ht="15" hidden="false" customHeight="true" outlineLevel="0" collapsed="false">
      <c r="J32" s="10" t="str">
        <f aca="false">IF($C32="","",IFERROR(INDEX(Scripts!$B$2:$B$18,MATCH($C32,Scripts!$A$2:$A$18,0)),"?"))</f>
        <v/>
      </c>
    </row>
    <row r="33" customFormat="false" ht="15" hidden="false" customHeight="true" outlineLevel="0" collapsed="false">
      <c r="J33" s="10" t="str">
        <f aca="false">IF($C33="","",IFERROR(INDEX(Scripts!$B$2:$B$18,MATCH($C33,Scripts!$A$2:$A$18,0)),"?"))</f>
        <v/>
      </c>
    </row>
    <row r="34" customFormat="false" ht="15" hidden="false" customHeight="true" outlineLevel="0" collapsed="false">
      <c r="J34" s="10" t="str">
        <f aca="false">IF($C34="","",IFERROR(INDEX(Scripts!$B$2:$B$18,MATCH($C34,Scripts!$A$2:$A$18,0)),"?"))</f>
        <v/>
      </c>
    </row>
    <row r="35" customFormat="false" ht="15" hidden="false" customHeight="true" outlineLevel="0" collapsed="false">
      <c r="J35" s="10" t="str">
        <f aca="false">IF($C35="","",IFERROR(INDEX(Scripts!$B$2:$B$18,MATCH($C35,Scripts!$A$2:$A$18,0)),"?"))</f>
        <v/>
      </c>
    </row>
    <row r="36" customFormat="false" ht="15" hidden="false" customHeight="true" outlineLevel="0" collapsed="false">
      <c r="J36" s="10" t="str">
        <f aca="false">IF($C36="","",IFERROR(INDEX(Scripts!$B$2:$B$18,MATCH($C36,Scripts!$A$2:$A$18,0)),"?"))</f>
        <v/>
      </c>
    </row>
    <row r="37" customFormat="false" ht="15" hidden="false" customHeight="true" outlineLevel="0" collapsed="false">
      <c r="J37" s="10" t="str">
        <f aca="false">IF($C37="","",IFERROR(INDEX(Scripts!$B$2:$B$18,MATCH($C37,Scripts!$A$2:$A$18,0)),"?"))</f>
        <v/>
      </c>
    </row>
    <row r="38" customFormat="false" ht="15" hidden="false" customHeight="true" outlineLevel="0" collapsed="false">
      <c r="J38" s="10" t="str">
        <f aca="false">IF($C38="","",IFERROR(INDEX(Scripts!$B$2:$B$18,MATCH($C38,Scripts!$A$2:$A$18,0)),"?"))</f>
        <v/>
      </c>
    </row>
    <row r="39" customFormat="false" ht="15" hidden="false" customHeight="true" outlineLevel="0" collapsed="false">
      <c r="J39" s="10" t="str">
        <f aca="false">IF($C39="","",IFERROR(INDEX(Scripts!$B$2:$B$18,MATCH($C39,Scripts!$A$2:$A$18,0)),"?"))</f>
        <v/>
      </c>
    </row>
    <row r="40" customFormat="false" ht="15" hidden="false" customHeight="true" outlineLevel="0" collapsed="false">
      <c r="J40" s="10" t="str">
        <f aca="false">IF($C40="","",IFERROR(INDEX(Scripts!$B$2:$B$18,MATCH($C40,Scripts!$A$2:$A$18,0)),"?"))</f>
        <v/>
      </c>
    </row>
    <row r="41" customFormat="false" ht="15" hidden="false" customHeight="true" outlineLevel="0" collapsed="false">
      <c r="J41" s="10" t="str">
        <f aca="false">IF($C41="","",IFERROR(INDEX(Scripts!$B$2:$B$18,MATCH($C41,Scripts!$A$2:$A$18,0)),"?"))</f>
        <v/>
      </c>
    </row>
    <row r="42" customFormat="false" ht="15" hidden="false" customHeight="true" outlineLevel="0" collapsed="false">
      <c r="J42" s="10" t="str">
        <f aca="false">IF($C42="","",IFERROR(INDEX(Scripts!$B$2:$B$18,MATCH($C42,Scripts!$A$2:$A$18,0)),"?"))</f>
        <v/>
      </c>
    </row>
    <row r="43" customFormat="false" ht="15" hidden="false" customHeight="true" outlineLevel="0" collapsed="false">
      <c r="J43" s="10" t="str">
        <f aca="false">IF($C43="","",IFERROR(INDEX(Scripts!$B$2:$B$18,MATCH($C43,Scripts!$A$2:$A$18,0)),"?"))</f>
        <v/>
      </c>
    </row>
    <row r="44" customFormat="false" ht="15" hidden="false" customHeight="true" outlineLevel="0" collapsed="false">
      <c r="J44" s="10" t="str">
        <f aca="false">IF($C44="","",IFERROR(INDEX(Scripts!$B$2:$B$18,MATCH($C44,Scripts!$A$2:$A$18,0)),"?"))</f>
        <v/>
      </c>
    </row>
    <row r="45" customFormat="false" ht="15" hidden="false" customHeight="true" outlineLevel="0" collapsed="false">
      <c r="J45" s="10" t="str">
        <f aca="false">IF($C45="","",IFERROR(INDEX(Scripts!$B$2:$B$18,MATCH($C45,Scripts!$A$2:$A$18,0)),"?"))</f>
        <v/>
      </c>
    </row>
    <row r="46" customFormat="false" ht="15" hidden="false" customHeight="true" outlineLevel="0" collapsed="false">
      <c r="J46" s="10" t="str">
        <f aca="false">IF($C46="","",IFERROR(INDEX(Scripts!$B$2:$B$18,MATCH($C46,Scripts!$A$2:$A$18,0)),"?"))</f>
        <v/>
      </c>
    </row>
    <row r="47" customFormat="false" ht="15" hidden="false" customHeight="true" outlineLevel="0" collapsed="false">
      <c r="J47" s="10" t="str">
        <f aca="false">IF($C47="","",IFERROR(INDEX(Scripts!$B$2:$B$18,MATCH($C47,Scripts!$A$2:$A$18,0)),"?"))</f>
        <v/>
      </c>
    </row>
    <row r="48" customFormat="false" ht="15" hidden="false" customHeight="true" outlineLevel="0" collapsed="false">
      <c r="J48" s="10" t="str">
        <f aca="false">IF($C48="","",IFERROR(INDEX(Scripts!$B$2:$B$18,MATCH($C48,Scripts!$A$2:$A$18,0)),"?"))</f>
        <v/>
      </c>
    </row>
    <row r="49" customFormat="false" ht="15" hidden="false" customHeight="true" outlineLevel="0" collapsed="false">
      <c r="J49" s="10" t="str">
        <f aca="false">IF($C49="","",IFERROR(INDEX(Scripts!$B$2:$B$18,MATCH($C49,Scripts!$A$2:$A$18,0)),"?"))</f>
        <v/>
      </c>
    </row>
    <row r="50" customFormat="false" ht="15" hidden="false" customHeight="true" outlineLevel="0" collapsed="false">
      <c r="J50" s="10" t="str">
        <f aca="false">IF($C50="","",IFERROR(INDEX(Scripts!$B$2:$B$18,MATCH($C50,Scripts!$A$2:$A$18,0)),"?"))</f>
        <v/>
      </c>
    </row>
    <row r="51" customFormat="false" ht="15" hidden="false" customHeight="true" outlineLevel="0" collapsed="false">
      <c r="J51" s="10" t="str">
        <f aca="false">IF($C51="","",IFERROR(INDEX(Scripts!$B$2:$B$18,MATCH($C51,Scripts!$A$2:$A$18,0)),"?"))</f>
        <v/>
      </c>
    </row>
    <row r="52" customFormat="false" ht="15" hidden="false" customHeight="true" outlineLevel="0" collapsed="false">
      <c r="J52" s="10" t="str">
        <f aca="false">IF($C52="","",IFERROR(INDEX(Scripts!$B$2:$B$18,MATCH($C52,Scripts!$A$2:$A$18,0)),"?"))</f>
        <v/>
      </c>
    </row>
    <row r="53" customFormat="false" ht="15" hidden="false" customHeight="true" outlineLevel="0" collapsed="false">
      <c r="J53" s="10" t="str">
        <f aca="false">IF($C53="","",IFERROR(INDEX(Scripts!$B$2:$B$18,MATCH($C53,Scripts!$A$2:$A$18,0)),"?"))</f>
        <v/>
      </c>
    </row>
    <row r="54" customFormat="false" ht="15" hidden="false" customHeight="true" outlineLevel="0" collapsed="false">
      <c r="J54" s="10" t="str">
        <f aca="false">IF($C54="","",IFERROR(INDEX(Scripts!$B$2:$B$18,MATCH($C54,Scripts!$A$2:$A$18,0)),"?"))</f>
        <v/>
      </c>
    </row>
    <row r="55" customFormat="false" ht="15" hidden="false" customHeight="true" outlineLevel="0" collapsed="false">
      <c r="J55" s="10" t="str">
        <f aca="false">IF($C55="","",IFERROR(INDEX(Scripts!$B$2:$B$18,MATCH($C55,Scripts!$A$2:$A$18,0)),"?"))</f>
        <v/>
      </c>
    </row>
    <row r="56" customFormat="false" ht="15" hidden="false" customHeight="true" outlineLevel="0" collapsed="false">
      <c r="J56" s="10" t="str">
        <f aca="false">IF($C56="","",IFERROR(INDEX(Scripts!$B$2:$B$18,MATCH($C56,Scripts!$A$2:$A$18,0)),"?"))</f>
        <v/>
      </c>
    </row>
    <row r="57" customFormat="false" ht="15" hidden="false" customHeight="true" outlineLevel="0" collapsed="false">
      <c r="J57" s="10" t="str">
        <f aca="false">IF($C57="","",IFERROR(INDEX(Scripts!$B$2:$B$18,MATCH($C57,Scripts!$A$2:$A$18,0)),"?"))</f>
        <v/>
      </c>
    </row>
    <row r="58" customFormat="false" ht="15" hidden="false" customHeight="true" outlineLevel="0" collapsed="false">
      <c r="J58" s="10" t="str">
        <f aca="false">IF($C58="","",IFERROR(INDEX(Scripts!$B$2:$B$18,MATCH($C58,Scripts!$A$2:$A$18,0)),"?"))</f>
        <v/>
      </c>
    </row>
    <row r="59" customFormat="false" ht="15" hidden="false" customHeight="true" outlineLevel="0" collapsed="false">
      <c r="J59" s="10" t="str">
        <f aca="false">IF($C59="","",IFERROR(INDEX(Scripts!$B$2:$B$18,MATCH($C59,Scripts!$A$2:$A$18,0)),"?"))</f>
        <v/>
      </c>
    </row>
    <row r="60" customFormat="false" ht="15" hidden="false" customHeight="true" outlineLevel="0" collapsed="false">
      <c r="J60" s="10" t="str">
        <f aca="false">IF($C60="","",IFERROR(INDEX(Scripts!$B$2:$B$18,MATCH($C60,Scripts!$A$2:$A$18,0)),"?"))</f>
        <v/>
      </c>
    </row>
    <row r="61" customFormat="false" ht="15" hidden="false" customHeight="true" outlineLevel="0" collapsed="false">
      <c r="J61" s="10" t="str">
        <f aca="false">IF($C61="","",IFERROR(INDEX(Scripts!$B$2:$B$18,MATCH($C61,Scripts!$A$2:$A$18,0)),"?"))</f>
        <v/>
      </c>
    </row>
    <row r="62" customFormat="false" ht="15" hidden="false" customHeight="true" outlineLevel="0" collapsed="false">
      <c r="J62" s="10" t="str">
        <f aca="false">IF($C62="","",IFERROR(INDEX(Scripts!$B$2:$B$18,MATCH($C62,Scripts!$A$2:$A$18,0)),"?"))</f>
        <v/>
      </c>
    </row>
    <row r="63" customFormat="false" ht="15" hidden="false" customHeight="true" outlineLevel="0" collapsed="false">
      <c r="J63" s="10" t="str">
        <f aca="false">IF($C63="","",IFERROR(INDEX(Scripts!$B$2:$B$18,MATCH($C63,Scripts!$A$2:$A$18,0)),"?"))</f>
        <v/>
      </c>
    </row>
    <row r="64" customFormat="false" ht="15" hidden="false" customHeight="true" outlineLevel="0" collapsed="false">
      <c r="J64" s="10" t="str">
        <f aca="false">IF($C64="","",IFERROR(INDEX(Scripts!$B$2:$B$18,MATCH($C64,Scripts!$A$2:$A$18,0)),"?"))</f>
        <v/>
      </c>
    </row>
    <row r="65" customFormat="false" ht="15" hidden="false" customHeight="true" outlineLevel="0" collapsed="false">
      <c r="J65" s="10" t="str">
        <f aca="false">IF($C65="","",IFERROR(INDEX(Scripts!$B$2:$B$18,MATCH($C65,Scripts!$A$2:$A$18,0)),"?"))</f>
        <v/>
      </c>
    </row>
    <row r="66" customFormat="false" ht="15" hidden="false" customHeight="true" outlineLevel="0" collapsed="false">
      <c r="J66" s="10" t="str">
        <f aca="false">IF($C66="","",IFERROR(INDEX(Scripts!$B$2:$B$18,MATCH($C66,Scripts!$A$2:$A$18,0)),"?"))</f>
        <v/>
      </c>
    </row>
    <row r="67" customFormat="false" ht="15" hidden="false" customHeight="true" outlineLevel="0" collapsed="false">
      <c r="J67" s="10" t="str">
        <f aca="false">IF($C67="","",IFERROR(INDEX(Scripts!$B$2:$B$18,MATCH($C67,Scripts!$A$2:$A$18,0)),"?"))</f>
        <v/>
      </c>
    </row>
    <row r="68" customFormat="false" ht="15" hidden="false" customHeight="true" outlineLevel="0" collapsed="false">
      <c r="J68" s="10" t="str">
        <f aca="false">IF($C68="","",IFERROR(INDEX(Scripts!$B$2:$B$18,MATCH($C68,Scripts!$A$2:$A$18,0)),"?"))</f>
        <v/>
      </c>
    </row>
    <row r="69" customFormat="false" ht="15" hidden="false" customHeight="true" outlineLevel="0" collapsed="false">
      <c r="J69" s="10" t="str">
        <f aca="false">IF($C69="","",IFERROR(INDEX(Scripts!$B$2:$B$18,MATCH($C69,Scripts!$A$2:$A$18,0)),"?"))</f>
        <v/>
      </c>
    </row>
    <row r="70" customFormat="false" ht="15" hidden="false" customHeight="true" outlineLevel="0" collapsed="false">
      <c r="J70" s="10" t="str">
        <f aca="false">IF($C70="","",IFERROR(INDEX(Scripts!$B$2:$B$18,MATCH($C70,Scripts!$A$2:$A$18,0)),"?"))</f>
        <v/>
      </c>
    </row>
    <row r="71" customFormat="false" ht="15" hidden="false" customHeight="true" outlineLevel="0" collapsed="false">
      <c r="J71" s="10" t="str">
        <f aca="false">IF($C71="","",IFERROR(INDEX(Scripts!$B$2:$B$18,MATCH($C71,Scripts!$A$2:$A$18,0)),"?"))</f>
        <v/>
      </c>
    </row>
    <row r="72" customFormat="false" ht="15" hidden="false" customHeight="true" outlineLevel="0" collapsed="false">
      <c r="J72" s="10" t="str">
        <f aca="false">IF($C72="","",IFERROR(INDEX(Scripts!$B$2:$B$18,MATCH($C72,Scripts!$A$2:$A$18,0)),"?"))</f>
        <v/>
      </c>
    </row>
    <row r="73" customFormat="false" ht="15" hidden="false" customHeight="true" outlineLevel="0" collapsed="false">
      <c r="J73" s="10" t="str">
        <f aca="false">IF($C73="","",IFERROR(INDEX(Scripts!$B$2:$B$18,MATCH($C73,Scripts!$A$2:$A$18,0)),"?"))</f>
        <v/>
      </c>
    </row>
    <row r="74" customFormat="false" ht="15" hidden="false" customHeight="true" outlineLevel="0" collapsed="false">
      <c r="J74" s="10" t="str">
        <f aca="false">IF($C74="","",IFERROR(INDEX(Scripts!$B$2:$B$18,MATCH($C74,Scripts!$A$2:$A$18,0)),"?"))</f>
        <v/>
      </c>
    </row>
    <row r="75" customFormat="false" ht="15" hidden="false" customHeight="true" outlineLevel="0" collapsed="false">
      <c r="J75" s="10" t="str">
        <f aca="false">IF($C75="","",IFERROR(INDEX(Scripts!$B$2:$B$18,MATCH($C75,Scripts!$A$2:$A$18,0)),"?"))</f>
        <v/>
      </c>
    </row>
    <row r="76" customFormat="false" ht="15" hidden="false" customHeight="true" outlineLevel="0" collapsed="false">
      <c r="J76" s="10" t="str">
        <f aca="false">IF($C76="","",IFERROR(INDEX(Scripts!$B$2:$B$18,MATCH($C76,Scripts!$A$2:$A$18,0)),"?"))</f>
        <v/>
      </c>
    </row>
    <row r="77" customFormat="false" ht="15" hidden="false" customHeight="true" outlineLevel="0" collapsed="false">
      <c r="J77" s="10" t="str">
        <f aca="false">IF($C77="","",IFERROR(INDEX(Scripts!$B$2:$B$18,MATCH($C77,Scripts!$A$2:$A$18,0)),"?"))</f>
        <v/>
      </c>
    </row>
    <row r="78" customFormat="false" ht="15" hidden="false" customHeight="true" outlineLevel="0" collapsed="false">
      <c r="J78" s="10" t="str">
        <f aca="false">IF($C78="","",IFERROR(INDEX(Scripts!$B$2:$B$18,MATCH($C78,Scripts!$A$2:$A$18,0)),"?"))</f>
        <v/>
      </c>
    </row>
    <row r="79" customFormat="false" ht="15" hidden="false" customHeight="true" outlineLevel="0" collapsed="false">
      <c r="J79" s="10" t="str">
        <f aca="false">IF($C79="","",IFERROR(INDEX(Scripts!$B$2:$B$18,MATCH($C79,Scripts!$A$2:$A$18,0)),"?"))</f>
        <v/>
      </c>
    </row>
    <row r="80" customFormat="false" ht="15" hidden="false" customHeight="true" outlineLevel="0" collapsed="false">
      <c r="J80" s="10" t="str">
        <f aca="false">IF($C80="","",IFERROR(INDEX(Scripts!$B$2:$B$18,MATCH($C80,Scripts!$A$2:$A$18,0)),"?"))</f>
        <v/>
      </c>
    </row>
    <row r="81" customFormat="false" ht="15" hidden="false" customHeight="true" outlineLevel="0" collapsed="false">
      <c r="J81" s="10" t="str">
        <f aca="false">IF($C81="","",IFERROR(INDEX(Scripts!$B$2:$B$18,MATCH($C81,Scripts!$A$2:$A$18,0)),"?"))</f>
        <v/>
      </c>
    </row>
    <row r="82" customFormat="false" ht="15" hidden="false" customHeight="true" outlineLevel="0" collapsed="false">
      <c r="J82" s="10" t="str">
        <f aca="false">IF($C82="","",IFERROR(INDEX(Scripts!$B$2:$B$18,MATCH($C82,Scripts!$A$2:$A$18,0)),"?"))</f>
        <v/>
      </c>
    </row>
    <row r="83" customFormat="false" ht="15" hidden="false" customHeight="true" outlineLevel="0" collapsed="false">
      <c r="J83" s="10" t="str">
        <f aca="false">IF($C83="","",IFERROR(INDEX(Scripts!$B$2:$B$18,MATCH($C83,Scripts!$A$2:$A$18,0)),"?"))</f>
        <v/>
      </c>
    </row>
    <row r="84" customFormat="false" ht="15" hidden="false" customHeight="true" outlineLevel="0" collapsed="false">
      <c r="J84" s="10" t="str">
        <f aca="false">IF($C84="","",IFERROR(INDEX(Scripts!$B$2:$B$18,MATCH($C84,Scripts!$A$2:$A$18,0)),"?"))</f>
        <v/>
      </c>
    </row>
    <row r="85" customFormat="false" ht="15" hidden="false" customHeight="true" outlineLevel="0" collapsed="false">
      <c r="J85" s="10" t="str">
        <f aca="false">IF($C85="","",IFERROR(INDEX(Scripts!$B$2:$B$18,MATCH($C85,Scripts!$A$2:$A$18,0)),"?"))</f>
        <v/>
      </c>
    </row>
    <row r="86" customFormat="false" ht="15" hidden="false" customHeight="true" outlineLevel="0" collapsed="false">
      <c r="J86" s="10" t="str">
        <f aca="false">IF($C86="","",IFERROR(INDEX(Scripts!$B$2:$B$18,MATCH($C86,Scripts!$A$2:$A$18,0)),"?"))</f>
        <v/>
      </c>
    </row>
    <row r="87" customFormat="false" ht="15" hidden="false" customHeight="true" outlineLevel="0" collapsed="false">
      <c r="J87" s="10" t="str">
        <f aca="false">IF($C87="","",IFERROR(INDEX(Scripts!$B$2:$B$18,MATCH($C87,Scripts!$A$2:$A$18,0)),"?"))</f>
        <v/>
      </c>
    </row>
    <row r="88" customFormat="false" ht="15" hidden="false" customHeight="true" outlineLevel="0" collapsed="false">
      <c r="J88" s="10" t="str">
        <f aca="false">IF($C88="","",IFERROR(INDEX(Scripts!$B$2:$B$18,MATCH($C88,Scripts!$A$2:$A$18,0)),"?"))</f>
        <v/>
      </c>
    </row>
    <row r="89" customFormat="false" ht="15" hidden="false" customHeight="true" outlineLevel="0" collapsed="false">
      <c r="J89" s="10" t="str">
        <f aca="false">IF($C89="","",IFERROR(INDEX(Scripts!$B$2:$B$18,MATCH($C89,Scripts!$A$2:$A$18,0)),"?"))</f>
        <v/>
      </c>
    </row>
    <row r="90" customFormat="false" ht="15" hidden="false" customHeight="true" outlineLevel="0" collapsed="false">
      <c r="J90" s="10" t="str">
        <f aca="false">IF($C90="","",IFERROR(INDEX(Scripts!$B$2:$B$18,MATCH($C90,Scripts!$A$2:$A$18,0)),"?"))</f>
        <v/>
      </c>
    </row>
    <row r="91" customFormat="false" ht="15" hidden="false" customHeight="true" outlineLevel="0" collapsed="false">
      <c r="J91" s="10" t="str">
        <f aca="false">IF($C91="","",IFERROR(INDEX(Scripts!$B$2:$B$18,MATCH($C91,Scripts!$A$2:$A$18,0)),"?"))</f>
        <v/>
      </c>
    </row>
    <row r="92" customFormat="false" ht="15" hidden="false" customHeight="true" outlineLevel="0" collapsed="false">
      <c r="J92" s="10" t="str">
        <f aca="false">IF($C92="","",IFERROR(INDEX(Scripts!$B$2:$B$18,MATCH($C92,Scripts!$A$2:$A$18,0)),"?"))</f>
        <v/>
      </c>
    </row>
    <row r="93" customFormat="false" ht="15" hidden="false" customHeight="true" outlineLevel="0" collapsed="false">
      <c r="J93" s="10" t="str">
        <f aca="false">IF($C93="","",IFERROR(INDEX(Scripts!$B$2:$B$18,MATCH($C93,Scripts!$A$2:$A$18,0)),"?"))</f>
        <v/>
      </c>
    </row>
    <row r="94" customFormat="false" ht="15" hidden="false" customHeight="true" outlineLevel="0" collapsed="false">
      <c r="J94" s="10" t="str">
        <f aca="false">IF($C94="","",IFERROR(INDEX(Scripts!$B$2:$B$18,MATCH($C94,Scripts!$A$2:$A$18,0)),"?"))</f>
        <v/>
      </c>
    </row>
    <row r="95" customFormat="false" ht="15" hidden="false" customHeight="true" outlineLevel="0" collapsed="false">
      <c r="J95" s="10" t="str">
        <f aca="false">IF($C95="","",IFERROR(INDEX(Scripts!$B$2:$B$18,MATCH($C95,Scripts!$A$2:$A$18,0)),"?"))</f>
        <v/>
      </c>
    </row>
    <row r="96" customFormat="false" ht="15" hidden="false" customHeight="true" outlineLevel="0" collapsed="false">
      <c r="J96" s="10" t="str">
        <f aca="false">IF($C96="","",IFERROR(INDEX(Scripts!$B$2:$B$18,MATCH($C96,Scripts!$A$2:$A$18,0)),"?"))</f>
        <v/>
      </c>
    </row>
    <row r="97" customFormat="false" ht="15" hidden="false" customHeight="true" outlineLevel="0" collapsed="false">
      <c r="J97" s="10" t="str">
        <f aca="false">IF($C97="","",IFERROR(INDEX(Scripts!$B$2:$B$18,MATCH($C97,Scripts!$A$2:$A$18,0)),"?"))</f>
        <v/>
      </c>
    </row>
    <row r="98" customFormat="false" ht="15" hidden="false" customHeight="true" outlineLevel="0" collapsed="false">
      <c r="J98" s="10" t="str">
        <f aca="false">IF($C98="","",IFERROR(INDEX(Scripts!$B$2:$B$18,MATCH($C98,Scripts!$A$2:$A$18,0)),"?"))</f>
        <v/>
      </c>
    </row>
    <row r="99" customFormat="false" ht="15" hidden="false" customHeight="true" outlineLevel="0" collapsed="false">
      <c r="J99" s="10" t="str">
        <f aca="false">IF($C99="","",IFERROR(INDEX(Scripts!$B$2:$B$18,MATCH($C99,Scripts!$A$2:$A$18,0)),"?"))</f>
        <v/>
      </c>
    </row>
    <row r="100" customFormat="false" ht="15" hidden="false" customHeight="true" outlineLevel="0" collapsed="false">
      <c r="J100" s="10" t="str">
        <f aca="false">IF($C100="","",IFERROR(INDEX(Scripts!$B$2:$B$18,MATCH($C100,Scripts!$A$2:$A$18,0)),"?"))</f>
        <v/>
      </c>
    </row>
    <row r="101" customFormat="false" ht="15" hidden="false" customHeight="true" outlineLevel="0" collapsed="false">
      <c r="J101" s="10" t="str">
        <f aca="false">IF($C101="","",IFERROR(INDEX(Scripts!$B$2:$B$18,MATCH($C101,Scripts!$A$2:$A$18,0)),"?"))</f>
        <v/>
      </c>
    </row>
    <row r="102" customFormat="false" ht="15" hidden="false" customHeight="true" outlineLevel="0" collapsed="false">
      <c r="J102" s="10" t="str">
        <f aca="false">IF($C102="","",IFERROR(INDEX(Scripts!$B$2:$B$18,MATCH($C102,Scripts!$A$2:$A$18,0)),"?"))</f>
        <v/>
      </c>
    </row>
    <row r="103" customFormat="false" ht="15" hidden="false" customHeight="true" outlineLevel="0" collapsed="false">
      <c r="J103" s="10" t="str">
        <f aca="false">IF($C103="","",IFERROR(INDEX(Scripts!$B$2:$B$18,MATCH($C103,Scripts!$A$2:$A$18,0)),"?"))</f>
        <v/>
      </c>
    </row>
    <row r="104" customFormat="false" ht="15" hidden="false" customHeight="true" outlineLevel="0" collapsed="false">
      <c r="J104" s="10" t="str">
        <f aca="false">IF($C104="","",IFERROR(INDEX(Scripts!$B$2:$B$18,MATCH($C104,Scripts!$A$2:$A$18,0)),"?"))</f>
        <v/>
      </c>
    </row>
    <row r="105" customFormat="false" ht="15" hidden="false" customHeight="true" outlineLevel="0" collapsed="false">
      <c r="J105" s="10" t="str">
        <f aca="false">IF($C105="","",IFERROR(INDEX(Scripts!$B$2:$B$18,MATCH($C105,Scripts!$A$2:$A$18,0)),"?"))</f>
        <v/>
      </c>
    </row>
    <row r="106" customFormat="false" ht="15" hidden="false" customHeight="true" outlineLevel="0" collapsed="false">
      <c r="J106" s="10" t="str">
        <f aca="false">IF($C106="","",IFERROR(INDEX(Scripts!$B$2:$B$18,MATCH($C106,Scripts!$A$2:$A$18,0)),"?"))</f>
        <v/>
      </c>
    </row>
    <row r="107" customFormat="false" ht="15" hidden="false" customHeight="true" outlineLevel="0" collapsed="false">
      <c r="J107" s="10" t="str">
        <f aca="false">IF($C107="","",IFERROR(INDEX(Scripts!$B$2:$B$18,MATCH($C107,Scripts!$A$2:$A$18,0)),"?"))</f>
        <v/>
      </c>
    </row>
    <row r="108" customFormat="false" ht="15" hidden="false" customHeight="true" outlineLevel="0" collapsed="false">
      <c r="J108" s="10" t="str">
        <f aca="false">IF($C108="","",IFERROR(INDEX(Scripts!$B$2:$B$18,MATCH($C108,Scripts!$A$2:$A$18,0)),"?"))</f>
        <v/>
      </c>
    </row>
    <row r="109" customFormat="false" ht="15" hidden="false" customHeight="true" outlineLevel="0" collapsed="false">
      <c r="J109" s="10" t="str">
        <f aca="false">IF($C109="","",IFERROR(INDEX(Scripts!$B$2:$B$18,MATCH($C109,Scripts!$A$2:$A$18,0)),"?"))</f>
        <v/>
      </c>
    </row>
    <row r="110" customFormat="false" ht="15" hidden="false" customHeight="true" outlineLevel="0" collapsed="false">
      <c r="J110" s="10" t="str">
        <f aca="false">IF($C110="","",IFERROR(INDEX(Scripts!$B$2:$B$18,MATCH($C110,Scripts!$A$2:$A$18,0)),"?"))</f>
        <v/>
      </c>
    </row>
    <row r="111" customFormat="false" ht="15" hidden="false" customHeight="true" outlineLevel="0" collapsed="false">
      <c r="J111" s="10" t="str">
        <f aca="false">IF($C111="","",IFERROR(INDEX(Scripts!$B$2:$B$18,MATCH($C111,Scripts!$A$2:$A$18,0)),"?"))</f>
        <v/>
      </c>
    </row>
    <row r="112" customFormat="false" ht="15" hidden="false" customHeight="true" outlineLevel="0" collapsed="false">
      <c r="J112" s="10" t="str">
        <f aca="false">IF($C112="","",IFERROR(INDEX(Scripts!$B$2:$B$18,MATCH($C112,Scripts!$A$2:$A$18,0)),"?"))</f>
        <v/>
      </c>
    </row>
    <row r="113" customFormat="false" ht="15" hidden="false" customHeight="true" outlineLevel="0" collapsed="false">
      <c r="J113" s="10" t="str">
        <f aca="false">IF($C113="","",IFERROR(INDEX(Scripts!$B$2:$B$18,MATCH($C113,Scripts!$A$2:$A$18,0)),"?"))</f>
        <v/>
      </c>
    </row>
    <row r="114" customFormat="false" ht="15" hidden="false" customHeight="true" outlineLevel="0" collapsed="false">
      <c r="J114" s="10" t="str">
        <f aca="false">IF($C114="","",IFERROR(INDEX(Scripts!$B$2:$B$18,MATCH($C114,Scripts!$A$2:$A$18,0)),"?"))</f>
        <v/>
      </c>
    </row>
    <row r="115" customFormat="false" ht="15" hidden="false" customHeight="true" outlineLevel="0" collapsed="false">
      <c r="J115" s="10" t="str">
        <f aca="false">IF($C115="","",IFERROR(INDEX(Scripts!$B$2:$B$18,MATCH($C115,Scripts!$A$2:$A$18,0)),"?"))</f>
        <v/>
      </c>
    </row>
    <row r="116" customFormat="false" ht="15" hidden="false" customHeight="true" outlineLevel="0" collapsed="false">
      <c r="J116" s="10" t="str">
        <f aca="false">IF($C116="","",IFERROR(INDEX(Scripts!$B$2:$B$18,MATCH($C116,Scripts!$A$2:$A$18,0)),"?"))</f>
        <v/>
      </c>
    </row>
    <row r="117" customFormat="false" ht="15" hidden="false" customHeight="true" outlineLevel="0" collapsed="false">
      <c r="J117" s="10" t="str">
        <f aca="false">IF($C117="","",IFERROR(INDEX(Scripts!$B$2:$B$18,MATCH($C117,Scripts!$A$2:$A$18,0)),"?"))</f>
        <v/>
      </c>
    </row>
    <row r="118" customFormat="false" ht="15" hidden="false" customHeight="true" outlineLevel="0" collapsed="false">
      <c r="J118" s="10" t="str">
        <f aca="false">IF($C118="","",IFERROR(INDEX(Scripts!$B$2:$B$18,MATCH($C118,Scripts!$A$2:$A$18,0)),"?"))</f>
        <v/>
      </c>
    </row>
    <row r="119" customFormat="false" ht="15" hidden="false" customHeight="true" outlineLevel="0" collapsed="false">
      <c r="J119" s="10" t="str">
        <f aca="false">IF($C119="","",IFERROR(INDEX(Scripts!$B$2:$B$18,MATCH($C119,Scripts!$A$2:$A$18,0)),"?"))</f>
        <v/>
      </c>
    </row>
    <row r="120" customFormat="false" ht="15" hidden="false" customHeight="true" outlineLevel="0" collapsed="false">
      <c r="J120" s="10" t="str">
        <f aca="false">IF($C120="","",IFERROR(INDEX(Scripts!$B$2:$B$18,MATCH($C120,Scripts!$A$2:$A$18,0)),"?"))</f>
        <v/>
      </c>
    </row>
    <row r="121" customFormat="false" ht="15" hidden="false" customHeight="true" outlineLevel="0" collapsed="false">
      <c r="J121" s="10" t="str">
        <f aca="false">IF($C121="","",IFERROR(INDEX(Scripts!$B$2:$B$18,MATCH($C121,Scripts!$A$2:$A$18,0)),"?"))</f>
        <v/>
      </c>
    </row>
    <row r="122" customFormat="false" ht="15" hidden="false" customHeight="true" outlineLevel="0" collapsed="false">
      <c r="J122" s="10" t="str">
        <f aca="false">IF($C122="","",IFERROR(INDEX(Scripts!$B$2:$B$18,MATCH($C122,Scripts!$A$2:$A$18,0)),"?"))</f>
        <v/>
      </c>
    </row>
    <row r="123" customFormat="false" ht="15" hidden="false" customHeight="true" outlineLevel="0" collapsed="false">
      <c r="J123" s="10" t="str">
        <f aca="false">IF($C123="","",IFERROR(INDEX(Scripts!$B$2:$B$18,MATCH($C123,Scripts!$A$2:$A$18,0)),"?"))</f>
        <v/>
      </c>
    </row>
    <row r="124" customFormat="false" ht="15" hidden="false" customHeight="true" outlineLevel="0" collapsed="false">
      <c r="J124" s="10" t="str">
        <f aca="false">IF($C124="","",IFERROR(INDEX(Scripts!$B$2:$B$18,MATCH($C124,Scripts!$A$2:$A$18,0)),"?"))</f>
        <v/>
      </c>
    </row>
    <row r="125" customFormat="false" ht="15" hidden="false" customHeight="true" outlineLevel="0" collapsed="false">
      <c r="J125" s="10" t="str">
        <f aca="false">IF($C125="","",IFERROR(INDEX(Scripts!$B$2:$B$18,MATCH($C125,Scripts!$A$2:$A$18,0)),"?"))</f>
        <v/>
      </c>
    </row>
    <row r="126" customFormat="false" ht="15" hidden="false" customHeight="true" outlineLevel="0" collapsed="false">
      <c r="J126" s="10" t="str">
        <f aca="false">IF($C126="","",IFERROR(INDEX(Scripts!$B$2:$B$18,MATCH($C126,Scripts!$A$2:$A$18,0)),"?"))</f>
        <v/>
      </c>
    </row>
    <row r="127" customFormat="false" ht="15" hidden="false" customHeight="true" outlineLevel="0" collapsed="false">
      <c r="J127" s="10" t="str">
        <f aca="false">IF($C127="","",IFERROR(INDEX(Scripts!$B$2:$B$18,MATCH($C127,Scripts!$A$2:$A$18,0)),"?"))</f>
        <v/>
      </c>
    </row>
    <row r="128" customFormat="false" ht="15" hidden="false" customHeight="true" outlineLevel="0" collapsed="false">
      <c r="J128" s="10" t="str">
        <f aca="false">IF($C128="","",IFERROR(INDEX(Scripts!$B$2:$B$18,MATCH($C128,Scripts!$A$2:$A$18,0)),"?"))</f>
        <v/>
      </c>
    </row>
    <row r="129" customFormat="false" ht="15" hidden="false" customHeight="true" outlineLevel="0" collapsed="false">
      <c r="J129" s="10" t="str">
        <f aca="false">IF($C129="","",IFERROR(INDEX(Scripts!$B$2:$B$18,MATCH($C129,Scripts!$A$2:$A$18,0)),"?"))</f>
        <v/>
      </c>
    </row>
    <row r="130" customFormat="false" ht="15" hidden="false" customHeight="true" outlineLevel="0" collapsed="false">
      <c r="J130" s="10" t="str">
        <f aca="false">IF($C130="","",IFERROR(INDEX(Scripts!$B$2:$B$18,MATCH($C130,Scripts!$A$2:$A$18,0)),"?"))</f>
        <v/>
      </c>
    </row>
    <row r="131" customFormat="false" ht="15" hidden="false" customHeight="true" outlineLevel="0" collapsed="false">
      <c r="J131" s="10" t="str">
        <f aca="false">IF($C131="","",IFERROR(INDEX(Scripts!$B$2:$B$18,MATCH($C131,Scripts!$A$2:$A$18,0)),"?"))</f>
        <v/>
      </c>
    </row>
    <row r="132" customFormat="false" ht="15" hidden="false" customHeight="true" outlineLevel="0" collapsed="false">
      <c r="J132" s="10" t="str">
        <f aca="false">IF($C132="","",IFERROR(INDEX(Scripts!$B$2:$B$18,MATCH($C132,Scripts!$A$2:$A$18,0)),"?"))</f>
        <v/>
      </c>
    </row>
    <row r="133" customFormat="false" ht="15" hidden="false" customHeight="true" outlineLevel="0" collapsed="false">
      <c r="J133" s="10" t="str">
        <f aca="false">IF($C133="","",IFERROR(INDEX(Scripts!$B$2:$B$18,MATCH($C133,Scripts!$A$2:$A$18,0)),"?"))</f>
        <v/>
      </c>
    </row>
    <row r="134" customFormat="false" ht="15" hidden="false" customHeight="true" outlineLevel="0" collapsed="false">
      <c r="J134" s="10" t="str">
        <f aca="false">IF($C134="","",IFERROR(INDEX(Scripts!$B$2:$B$18,MATCH($C134,Scripts!$A$2:$A$18,0)),"?"))</f>
        <v/>
      </c>
    </row>
    <row r="135" customFormat="false" ht="15" hidden="false" customHeight="true" outlineLevel="0" collapsed="false">
      <c r="J135" s="10" t="str">
        <f aca="false">IF($C135="","",IFERROR(INDEX(Scripts!$B$2:$B$18,MATCH($C135,Scripts!$A$2:$A$18,0)),"?"))</f>
        <v/>
      </c>
    </row>
    <row r="136" customFormat="false" ht="15" hidden="false" customHeight="true" outlineLevel="0" collapsed="false">
      <c r="J136" s="10" t="str">
        <f aca="false">IF($C136="","",IFERROR(INDEX(Scripts!$B$2:$B$18,MATCH($C136,Scripts!$A$2:$A$18,0)),"?"))</f>
        <v/>
      </c>
    </row>
    <row r="137" customFormat="false" ht="15" hidden="false" customHeight="true" outlineLevel="0" collapsed="false">
      <c r="J137" s="10" t="str">
        <f aca="false">IF($C137="","",IFERROR(INDEX(Scripts!$B$2:$B$18,MATCH($C137,Scripts!$A$2:$A$18,0)),"?"))</f>
        <v/>
      </c>
    </row>
    <row r="138" customFormat="false" ht="15" hidden="false" customHeight="true" outlineLevel="0" collapsed="false">
      <c r="J138" s="10" t="str">
        <f aca="false">IF($C138="","",IFERROR(INDEX(Scripts!$B$2:$B$18,MATCH($C138,Scripts!$A$2:$A$18,0)),"?"))</f>
        <v/>
      </c>
    </row>
    <row r="139" customFormat="false" ht="15" hidden="false" customHeight="true" outlineLevel="0" collapsed="false">
      <c r="J139" s="10" t="str">
        <f aca="false">IF($C139="","",IFERROR(INDEX(Scripts!$B$2:$B$18,MATCH($C139,Scripts!$A$2:$A$18,0)),"?"))</f>
        <v/>
      </c>
    </row>
    <row r="140" customFormat="false" ht="15" hidden="false" customHeight="true" outlineLevel="0" collapsed="false">
      <c r="J140" s="10" t="str">
        <f aca="false">IF($C140="","",IFERROR(INDEX(Scripts!$B$2:$B$18,MATCH($C140,Scripts!$A$2:$A$18,0)),"?"))</f>
        <v/>
      </c>
    </row>
    <row r="141" customFormat="false" ht="15" hidden="false" customHeight="true" outlineLevel="0" collapsed="false">
      <c r="J141" s="10" t="str">
        <f aca="false">IF($C141="","",IFERROR(INDEX(Scripts!$B$2:$B$18,MATCH($C141,Scripts!$A$2:$A$18,0)),"?"))</f>
        <v/>
      </c>
    </row>
    <row r="142" customFormat="false" ht="15" hidden="false" customHeight="true" outlineLevel="0" collapsed="false">
      <c r="J142" s="10" t="str">
        <f aca="false">IF($C142="","",IFERROR(INDEX(Scripts!$B$2:$B$18,MATCH($C142,Scripts!$A$2:$A$18,0)),"?"))</f>
        <v/>
      </c>
    </row>
    <row r="143" customFormat="false" ht="15" hidden="false" customHeight="true" outlineLevel="0" collapsed="false">
      <c r="J143" s="10" t="str">
        <f aca="false">IF($C143="","",IFERROR(INDEX(Scripts!$B$2:$B$18,MATCH($C143,Scripts!$A$2:$A$18,0)),"?"))</f>
        <v/>
      </c>
    </row>
    <row r="144" customFormat="false" ht="15" hidden="false" customHeight="true" outlineLevel="0" collapsed="false">
      <c r="J144" s="10" t="str">
        <f aca="false">IF($C144="","",IFERROR(INDEX(Scripts!$B$2:$B$18,MATCH($C144,Scripts!$A$2:$A$18,0)),"?"))</f>
        <v/>
      </c>
    </row>
    <row r="145" customFormat="false" ht="15" hidden="false" customHeight="true" outlineLevel="0" collapsed="false">
      <c r="J145" s="10" t="str">
        <f aca="false">IF($C145="","",IFERROR(INDEX(Scripts!$B$2:$B$18,MATCH($C145,Scripts!$A$2:$A$18,0)),"?"))</f>
        <v/>
      </c>
    </row>
    <row r="146" customFormat="false" ht="15" hidden="false" customHeight="true" outlineLevel="0" collapsed="false">
      <c r="J146" s="10" t="str">
        <f aca="false">IF($C146="","",IFERROR(INDEX(Scripts!$B$2:$B$18,MATCH($C146,Scripts!$A$2:$A$18,0)),"?"))</f>
        <v/>
      </c>
    </row>
    <row r="147" customFormat="false" ht="15" hidden="false" customHeight="true" outlineLevel="0" collapsed="false">
      <c r="J147" s="10" t="str">
        <f aca="false">IF($C147="","",IFERROR(INDEX(Scripts!$B$2:$B$18,MATCH($C147,Scripts!$A$2:$A$18,0)),"?"))</f>
        <v/>
      </c>
    </row>
    <row r="148" customFormat="false" ht="15" hidden="false" customHeight="true" outlineLevel="0" collapsed="false">
      <c r="J148" s="10" t="str">
        <f aca="false">IF($C148="","",IFERROR(INDEX(Scripts!$B$2:$B$18,MATCH($C148,Scripts!$A$2:$A$18,0)),"?"))</f>
        <v/>
      </c>
    </row>
    <row r="149" customFormat="false" ht="15" hidden="false" customHeight="true" outlineLevel="0" collapsed="false">
      <c r="J149" s="10" t="str">
        <f aca="false">IF($C149="","",IFERROR(INDEX(Scripts!$B$2:$B$18,MATCH($C149,Scripts!$A$2:$A$18,0)),"?"))</f>
        <v/>
      </c>
    </row>
    <row r="150" customFormat="false" ht="15" hidden="false" customHeight="true" outlineLevel="0" collapsed="false">
      <c r="J150" s="10" t="str">
        <f aca="false">IF($C150="","",IFERROR(INDEX(Scripts!$B$2:$B$18,MATCH($C150,Scripts!$A$2:$A$18,0)),"?"))</f>
        <v/>
      </c>
    </row>
    <row r="151" customFormat="false" ht="15" hidden="false" customHeight="true" outlineLevel="0" collapsed="false">
      <c r="J151" s="10" t="str">
        <f aca="false">IF($C151="","",IFERROR(INDEX(Scripts!$B$2:$B$18,MATCH($C151,Scripts!$A$2:$A$18,0)),"?"))</f>
        <v/>
      </c>
    </row>
    <row r="152" customFormat="false" ht="15" hidden="false" customHeight="true" outlineLevel="0" collapsed="false">
      <c r="J152" s="10" t="str">
        <f aca="false">IF($C152="","",IFERROR(INDEX(Scripts!$B$2:$B$18,MATCH($C152,Scripts!$A$2:$A$18,0)),"?"))</f>
        <v/>
      </c>
    </row>
    <row r="153" customFormat="false" ht="15" hidden="false" customHeight="true" outlineLevel="0" collapsed="false">
      <c r="J153" s="10" t="str">
        <f aca="false">IF($C153="","",IFERROR(INDEX(Scripts!$B$2:$B$18,MATCH($C153,Scripts!$A$2:$A$18,0)),"?"))</f>
        <v/>
      </c>
    </row>
    <row r="154" customFormat="false" ht="15" hidden="false" customHeight="true" outlineLevel="0" collapsed="false">
      <c r="J154" s="10" t="str">
        <f aca="false">IF($C154="","",IFERROR(INDEX(Scripts!$B$2:$B$18,MATCH($C154,Scripts!$A$2:$A$18,0)),"?"))</f>
        <v/>
      </c>
    </row>
    <row r="155" customFormat="false" ht="15" hidden="false" customHeight="true" outlineLevel="0" collapsed="false">
      <c r="J155" s="10" t="str">
        <f aca="false">IF($C155="","",IFERROR(INDEX(Scripts!$B$2:$B$18,MATCH($C155,Scripts!$A$2:$A$18,0)),"?"))</f>
        <v/>
      </c>
    </row>
    <row r="156" customFormat="false" ht="15" hidden="false" customHeight="true" outlineLevel="0" collapsed="false">
      <c r="J156" s="10" t="str">
        <f aca="false">IF($C156="","",IFERROR(INDEX(Scripts!$B$2:$B$18,MATCH($C156,Scripts!$A$2:$A$18,0)),"?"))</f>
        <v/>
      </c>
    </row>
    <row r="157" customFormat="false" ht="15" hidden="false" customHeight="true" outlineLevel="0" collapsed="false">
      <c r="J157" s="10" t="str">
        <f aca="false">IF($C157="","",IFERROR(INDEX(Scripts!$B$2:$B$18,MATCH($C157,Scripts!$A$2:$A$18,0)),"?"))</f>
        <v/>
      </c>
    </row>
    <row r="158" customFormat="false" ht="15" hidden="false" customHeight="true" outlineLevel="0" collapsed="false">
      <c r="J158" s="10" t="str">
        <f aca="false">IF($C158="","",IFERROR(INDEX(Scripts!$B$2:$B$18,MATCH($C158,Scripts!$A$2:$A$18,0)),"?"))</f>
        <v/>
      </c>
    </row>
    <row r="159" customFormat="false" ht="15" hidden="false" customHeight="true" outlineLevel="0" collapsed="false">
      <c r="J159" s="10" t="str">
        <f aca="false">IF($C159="","",IFERROR(INDEX(Scripts!$B$2:$B$18,MATCH($C159,Scripts!$A$2:$A$18,0)),"?"))</f>
        <v/>
      </c>
    </row>
    <row r="160" customFormat="false" ht="15" hidden="false" customHeight="true" outlineLevel="0" collapsed="false">
      <c r="J160" s="10" t="str">
        <f aca="false">IF($C160="","",IFERROR(INDEX(Scripts!$B$2:$B$18,MATCH($C160,Scripts!$A$2:$A$18,0)),"?"))</f>
        <v/>
      </c>
    </row>
    <row r="161" customFormat="false" ht="15" hidden="false" customHeight="true" outlineLevel="0" collapsed="false">
      <c r="J161" s="10" t="str">
        <f aca="false">IF($C161="","",IFERROR(INDEX(Scripts!$B$2:$B$18,MATCH($C161,Scripts!$A$2:$A$18,0)),"?"))</f>
        <v/>
      </c>
    </row>
    <row r="162" customFormat="false" ht="15" hidden="false" customHeight="true" outlineLevel="0" collapsed="false">
      <c r="J162" s="10" t="str">
        <f aca="false">IF($C162="","",IFERROR(INDEX(Scripts!$B$2:$B$18,MATCH($C162,Scripts!$A$2:$A$18,0)),"?"))</f>
        <v/>
      </c>
    </row>
    <row r="163" customFormat="false" ht="15" hidden="false" customHeight="true" outlineLevel="0" collapsed="false">
      <c r="J163" s="10" t="str">
        <f aca="false">IF($C163="","",IFERROR(INDEX(Scripts!$B$2:$B$18,MATCH($C163,Scripts!$A$2:$A$18,0)),"?"))</f>
        <v/>
      </c>
    </row>
    <row r="164" customFormat="false" ht="15" hidden="false" customHeight="true" outlineLevel="0" collapsed="false">
      <c r="J164" s="10" t="str">
        <f aca="false">IF($C164="","",IFERROR(INDEX(Scripts!$B$2:$B$18,MATCH($C164,Scripts!$A$2:$A$18,0)),"?"))</f>
        <v/>
      </c>
    </row>
    <row r="165" customFormat="false" ht="15" hidden="false" customHeight="true" outlineLevel="0" collapsed="false">
      <c r="J165" s="10" t="str">
        <f aca="false">IF($C165="","",IFERROR(INDEX(Scripts!$B$2:$B$18,MATCH($C165,Scripts!$A$2:$A$18,0)),"?"))</f>
        <v/>
      </c>
    </row>
    <row r="166" customFormat="false" ht="15" hidden="false" customHeight="true" outlineLevel="0" collapsed="false">
      <c r="J166" s="10" t="str">
        <f aca="false">IF($C166="","",IFERROR(INDEX(Scripts!$B$2:$B$18,MATCH($C166,Scripts!$A$2:$A$18,0)),"?"))</f>
        <v/>
      </c>
    </row>
    <row r="167" customFormat="false" ht="15" hidden="false" customHeight="true" outlineLevel="0" collapsed="false">
      <c r="J167" s="10" t="str">
        <f aca="false">IF($C167="","",IFERROR(INDEX(Scripts!$B$2:$B$18,MATCH($C167,Scripts!$A$2:$A$18,0)),"?"))</f>
        <v/>
      </c>
    </row>
    <row r="168" customFormat="false" ht="15" hidden="false" customHeight="true" outlineLevel="0" collapsed="false">
      <c r="J168" s="10" t="str">
        <f aca="false">IF($C168="","",IFERROR(INDEX(Scripts!$B$2:$B$18,MATCH($C168,Scripts!$A$2:$A$18,0)),"?"))</f>
        <v/>
      </c>
    </row>
    <row r="169" customFormat="false" ht="15" hidden="false" customHeight="true" outlineLevel="0" collapsed="false">
      <c r="J169" s="10" t="str">
        <f aca="false">IF($C169="","",IFERROR(INDEX(Scripts!$B$2:$B$18,MATCH($C169,Scripts!$A$2:$A$18,0)),"?"))</f>
        <v/>
      </c>
    </row>
    <row r="170" customFormat="false" ht="15" hidden="false" customHeight="true" outlineLevel="0" collapsed="false">
      <c r="J170" s="10" t="str">
        <f aca="false">IF($C170="","",IFERROR(INDEX(Scripts!$B$2:$B$18,MATCH($C170,Scripts!$A$2:$A$18,0)),"?"))</f>
        <v/>
      </c>
    </row>
    <row r="171" customFormat="false" ht="15" hidden="false" customHeight="true" outlineLevel="0" collapsed="false">
      <c r="J171" s="10" t="str">
        <f aca="false">IF($C171="","",IFERROR(INDEX(Scripts!$B$2:$B$18,MATCH($C171,Scripts!$A$2:$A$18,0)),"?"))</f>
        <v/>
      </c>
    </row>
    <row r="172" customFormat="false" ht="15" hidden="false" customHeight="true" outlineLevel="0" collapsed="false">
      <c r="J172" s="10" t="str">
        <f aca="false">IF($C172="","",IFERROR(INDEX(Scripts!$B$2:$B$18,MATCH($C172,Scripts!$A$2:$A$18,0)),"?"))</f>
        <v/>
      </c>
    </row>
    <row r="173" customFormat="false" ht="15" hidden="false" customHeight="true" outlineLevel="0" collapsed="false">
      <c r="J173" s="10" t="str">
        <f aca="false">IF($C173="","",IFERROR(INDEX(Scripts!$B$2:$B$18,MATCH($C173,Scripts!$A$2:$A$18,0)),"?"))</f>
        <v/>
      </c>
    </row>
    <row r="174" customFormat="false" ht="15" hidden="false" customHeight="true" outlineLevel="0" collapsed="false">
      <c r="J174" s="10" t="str">
        <f aca="false">IF($C174="","",IFERROR(INDEX(Scripts!$B$2:$B$18,MATCH($C174,Scripts!$A$2:$A$18,0)),"?"))</f>
        <v/>
      </c>
    </row>
    <row r="175" customFormat="false" ht="15" hidden="false" customHeight="true" outlineLevel="0" collapsed="false">
      <c r="J175" s="10" t="str">
        <f aca="false">IF($C175="","",IFERROR(INDEX(Scripts!$B$2:$B$18,MATCH($C175,Scripts!$A$2:$A$18,0)),"?"))</f>
        <v/>
      </c>
    </row>
    <row r="176" customFormat="false" ht="15" hidden="false" customHeight="true" outlineLevel="0" collapsed="false">
      <c r="J176" s="10" t="str">
        <f aca="false">IF($C176="","",IFERROR(INDEX(Scripts!$B$2:$B$18,MATCH($C176,Scripts!$A$2:$A$18,0)),"?"))</f>
        <v/>
      </c>
    </row>
    <row r="177" customFormat="false" ht="15" hidden="false" customHeight="true" outlineLevel="0" collapsed="false">
      <c r="J177" s="10" t="str">
        <f aca="false">IF($C177="","",IFERROR(INDEX(Scripts!$B$2:$B$18,MATCH($C177,Scripts!$A$2:$A$18,0)),"?"))</f>
        <v/>
      </c>
    </row>
    <row r="178" customFormat="false" ht="15" hidden="false" customHeight="true" outlineLevel="0" collapsed="false">
      <c r="J178" s="10" t="str">
        <f aca="false">IF($C178="","",IFERROR(INDEX(Scripts!$B$2:$B$18,MATCH($C178,Scripts!$A$2:$A$18,0)),"?"))</f>
        <v/>
      </c>
    </row>
    <row r="179" customFormat="false" ht="15" hidden="false" customHeight="true" outlineLevel="0" collapsed="false">
      <c r="J179" s="10" t="str">
        <f aca="false">IF($C179="","",IFERROR(INDEX(Scripts!$B$2:$B$18,MATCH($C179,Scripts!$A$2:$A$18,0)),"?"))</f>
        <v/>
      </c>
    </row>
    <row r="180" customFormat="false" ht="15" hidden="false" customHeight="true" outlineLevel="0" collapsed="false">
      <c r="J180" s="10" t="str">
        <f aca="false">IF($C180="","",IFERROR(INDEX(Scripts!$B$2:$B$18,MATCH($C180,Scripts!$A$2:$A$18,0)),"?"))</f>
        <v/>
      </c>
    </row>
    <row r="181" customFormat="false" ht="15" hidden="false" customHeight="true" outlineLevel="0" collapsed="false">
      <c r="J181" s="10" t="str">
        <f aca="false">IF($C181="","",IFERROR(INDEX(Scripts!$B$2:$B$18,MATCH($C181,Scripts!$A$2:$A$18,0)),"?"))</f>
        <v/>
      </c>
    </row>
    <row r="182" customFormat="false" ht="15" hidden="false" customHeight="true" outlineLevel="0" collapsed="false">
      <c r="J182" s="10" t="str">
        <f aca="false">IF($C182="","",IFERROR(INDEX(Scripts!$B$2:$B$18,MATCH($C182,Scripts!$A$2:$A$18,0)),"?"))</f>
        <v/>
      </c>
    </row>
    <row r="183" customFormat="false" ht="15" hidden="false" customHeight="true" outlineLevel="0" collapsed="false">
      <c r="J183" s="10" t="str">
        <f aca="false">IF($C183="","",IFERROR(INDEX(Scripts!$B$2:$B$18,MATCH($C183,Scripts!$A$2:$A$18,0)),"?"))</f>
        <v/>
      </c>
    </row>
    <row r="184" customFormat="false" ht="15" hidden="false" customHeight="true" outlineLevel="0" collapsed="false">
      <c r="J184" s="10" t="str">
        <f aca="false">IF($C184="","",IFERROR(INDEX(Scripts!$B$2:$B$18,MATCH($C184,Scripts!$A$2:$A$18,0)),"?"))</f>
        <v/>
      </c>
    </row>
    <row r="185" customFormat="false" ht="15" hidden="false" customHeight="true" outlineLevel="0" collapsed="false">
      <c r="J185" s="10" t="str">
        <f aca="false">IF($C185="","",IFERROR(INDEX(Scripts!$B$2:$B$18,MATCH($C185,Scripts!$A$2:$A$18,0)),"?"))</f>
        <v/>
      </c>
    </row>
    <row r="186" customFormat="false" ht="15" hidden="false" customHeight="true" outlineLevel="0" collapsed="false">
      <c r="J186" s="10" t="str">
        <f aca="false">IF($C186="","",IFERROR(INDEX(Scripts!$B$2:$B$18,MATCH($C186,Scripts!$A$2:$A$18,0)),"?"))</f>
        <v/>
      </c>
    </row>
    <row r="187" customFormat="false" ht="15" hidden="false" customHeight="true" outlineLevel="0" collapsed="false">
      <c r="J187" s="10" t="str">
        <f aca="false">IF($C187="","",IFERROR(INDEX(Scripts!$B$2:$B$18,MATCH($C187,Scripts!$A$2:$A$18,0)),"?"))</f>
        <v/>
      </c>
    </row>
    <row r="188" customFormat="false" ht="15" hidden="false" customHeight="true" outlineLevel="0" collapsed="false">
      <c r="J188" s="10" t="str">
        <f aca="false">IF($C188="","",IFERROR(INDEX(Scripts!$B$2:$B$18,MATCH($C188,Scripts!$A$2:$A$18,0)),"?"))</f>
        <v/>
      </c>
    </row>
    <row r="189" customFormat="false" ht="15" hidden="false" customHeight="true" outlineLevel="0" collapsed="false">
      <c r="J189" s="10" t="str">
        <f aca="false">IF($C189="","",IFERROR(INDEX(Scripts!$B$2:$B$18,MATCH($C189,Scripts!$A$2:$A$18,0)),"?"))</f>
        <v/>
      </c>
    </row>
    <row r="190" customFormat="false" ht="15" hidden="false" customHeight="true" outlineLevel="0" collapsed="false">
      <c r="J190" s="10" t="str">
        <f aca="false">IF($C190="","",IFERROR(INDEX(Scripts!$B$2:$B$18,MATCH($C190,Scripts!$A$2:$A$18,0)),"?"))</f>
        <v/>
      </c>
    </row>
    <row r="191" customFormat="false" ht="15" hidden="false" customHeight="true" outlineLevel="0" collapsed="false">
      <c r="J191" s="10" t="str">
        <f aca="false">IF($C191="","",IFERROR(INDEX(Scripts!$B$2:$B$18,MATCH($C191,Scripts!$A$2:$A$18,0)),"?"))</f>
        <v/>
      </c>
    </row>
    <row r="192" customFormat="false" ht="15" hidden="false" customHeight="true" outlineLevel="0" collapsed="false">
      <c r="J192" s="10" t="str">
        <f aca="false">IF($C192="","",IFERROR(INDEX(Scripts!$B$2:$B$18,MATCH($C192,Scripts!$A$2:$A$18,0)),"?"))</f>
        <v/>
      </c>
    </row>
    <row r="193" customFormat="false" ht="15" hidden="false" customHeight="true" outlineLevel="0" collapsed="false">
      <c r="J193" s="10" t="str">
        <f aca="false">IF($C193="","",IFERROR(INDEX(Scripts!$B$2:$B$18,MATCH($C193,Scripts!$A$2:$A$18,0)),"?"))</f>
        <v/>
      </c>
    </row>
    <row r="194" customFormat="false" ht="15" hidden="false" customHeight="true" outlineLevel="0" collapsed="false">
      <c r="J194" s="10" t="str">
        <f aca="false">IF($C194="","",IFERROR(INDEX(Scripts!$B$2:$B$18,MATCH($C194,Scripts!$A$2:$A$18,0)),"?"))</f>
        <v/>
      </c>
    </row>
    <row r="195" customFormat="false" ht="15" hidden="false" customHeight="true" outlineLevel="0" collapsed="false">
      <c r="J195" s="10" t="str">
        <f aca="false">IF($C195="","",IFERROR(INDEX(Scripts!$B$2:$B$18,MATCH($C195,Scripts!$A$2:$A$18,0)),"?"))</f>
        <v/>
      </c>
    </row>
    <row r="196" customFormat="false" ht="15" hidden="false" customHeight="true" outlineLevel="0" collapsed="false">
      <c r="J196" s="10" t="str">
        <f aca="false">IF($C196="","",IFERROR(INDEX(Scripts!$B$2:$B$18,MATCH($C196,Scripts!$A$2:$A$18,0)),"?"))</f>
        <v/>
      </c>
    </row>
    <row r="197" customFormat="false" ht="15" hidden="false" customHeight="true" outlineLevel="0" collapsed="false">
      <c r="J197" s="10" t="str">
        <f aca="false">IF($C197="","",IFERROR(INDEX(Scripts!$B$2:$B$18,MATCH($C197,Scripts!$A$2:$A$18,0)),"?"))</f>
        <v/>
      </c>
    </row>
    <row r="198" customFormat="false" ht="15" hidden="false" customHeight="true" outlineLevel="0" collapsed="false">
      <c r="J198" s="10" t="str">
        <f aca="false">IF($C198="","",IFERROR(INDEX(Scripts!$B$2:$B$18,MATCH($C198,Scripts!$A$2:$A$18,0)),"?"))</f>
        <v/>
      </c>
    </row>
    <row r="199" customFormat="false" ht="15" hidden="false" customHeight="true" outlineLevel="0" collapsed="false">
      <c r="J199" s="10" t="str">
        <f aca="false">IF($C199="","",IFERROR(INDEX(Scripts!$B$2:$B$18,MATCH($C199,Scripts!$A$2:$A$18,0)),"?"))</f>
        <v/>
      </c>
    </row>
    <row r="200" customFormat="false" ht="15" hidden="false" customHeight="true" outlineLevel="0" collapsed="false">
      <c r="J200" s="10" t="str">
        <f aca="false">IF($C200="","",IFERROR(INDEX(Scripts!$B$2:$B$18,MATCH($C200,Scripts!$A$2:$A$18,0)),"?"))</f>
        <v/>
      </c>
    </row>
  </sheetData>
  <dataValidations count="4">
    <dataValidation allowBlank="true" errorStyle="stop" operator="between" showDropDown="false" showErrorMessage="false" showInputMessage="false" sqref="B2:B500" type="list">
      <formula1>RunIDs</formula1>
      <formula2>0</formula2>
    </dataValidation>
    <dataValidation allowBlank="true" errorStyle="stop" operator="between" showDropDown="false" showErrorMessage="false" showInputMessage="false" sqref="C2:C500" type="list">
      <formula1>ScriptIDs</formula1>
      <formula2>0</formula2>
    </dataValidation>
    <dataValidation allowBlank="true" errorStyle="stop" operator="between" showDropDown="false" showErrorMessage="false" showInputMessage="false" sqref="F2:F500" type="list">
      <formula1>"U,A,F"</formula1>
      <formula2>0</formula2>
    </dataValidation>
    <dataValidation allowBlank="true" errorStyle="stop" operator="between" showDropDown="false" showErrorMessage="false" showInputMessage="false" sqref="I2:I500" type="whole">
      <formula1>1</formula1>
      <formula2>7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9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56"/>
    <col collapsed="false" customWidth="true" hidden="false" outlineLevel="0" max="7" min="6" style="1" width="11"/>
  </cols>
  <sheetData>
    <row r="1" customFormat="false" ht="23.25" hidden="false" customHeight="true" outlineLevel="0" collapsed="false">
      <c r="A1" s="6" t="s">
        <v>19</v>
      </c>
      <c r="B1" s="6" t="s">
        <v>114</v>
      </c>
      <c r="C1" s="6" t="s">
        <v>149</v>
      </c>
      <c r="D1" s="6" t="s">
        <v>158</v>
      </c>
      <c r="E1" s="6" t="s">
        <v>159</v>
      </c>
      <c r="F1" s="6" t="s">
        <v>160</v>
      </c>
      <c r="G1" s="6" t="s">
        <v>161</v>
      </c>
    </row>
    <row r="2" customFormat="false" ht="15" hidden="false" customHeight="true" outlineLevel="0" collapsed="false">
      <c r="A2" s="7" t="s">
        <v>29</v>
      </c>
      <c r="B2" s="7" t="s">
        <v>118</v>
      </c>
      <c r="C2" s="7" t="s">
        <v>156</v>
      </c>
      <c r="D2" s="7" t="n">
        <v>1</v>
      </c>
      <c r="E2" s="4" t="s">
        <v>162</v>
      </c>
      <c r="F2" s="10" t="str">
        <f aca="false">IF($B2="","",IFERROR(INDEX(Probes!$B$2:$B$14,MATCH($B2,Probes!$A$2:$A$14,0)),"?"))</f>
        <v>S-01</v>
      </c>
      <c r="G2" s="10" t="str">
        <f aca="false">IF($B2="","",IFERROR(T(INDEX(Probes!$E$2:$E$14,MATCH($B2,Probes!$A$2:$A$14,0))),""))</f>
        <v/>
      </c>
    </row>
    <row r="3" customFormat="false" ht="15" hidden="false" customHeight="true" outlineLevel="0" collapsed="false">
      <c r="A3" s="7" t="s">
        <v>29</v>
      </c>
      <c r="B3" s="7" t="s">
        <v>121</v>
      </c>
      <c r="C3" s="7" t="s">
        <v>156</v>
      </c>
      <c r="D3" s="7" t="n">
        <v>0.5</v>
      </c>
      <c r="E3" s="4" t="s">
        <v>163</v>
      </c>
      <c r="F3" s="10" t="str">
        <f aca="false">IF($B3="","",IFERROR(INDEX(Probes!$B$2:$B$14,MATCH($B3,Probes!$A$2:$A$14,0)),"?"))</f>
        <v>S-01</v>
      </c>
      <c r="G3" s="10" t="str">
        <f aca="false">IF($B3="","",IFERROR(T(INDEX(Probes!$E$2:$E$14,MATCH($B3,Probes!$A$2:$A$14,0))),""))</f>
        <v/>
      </c>
    </row>
    <row r="4" customFormat="false" ht="15" hidden="false" customHeight="true" outlineLevel="0" collapsed="false">
      <c r="F4" s="10" t="str">
        <f aca="false">IF($B4="","",IFERROR(INDEX(Probes!$B$2:$B$14,MATCH($B4,Probes!$A$2:$A$14,0)),"?"))</f>
        <v/>
      </c>
      <c r="G4" s="10" t="str">
        <f aca="false">IF($B4="","",IFERROR(T(INDEX(Probes!$E$2:$E$14,MATCH($B4,Probes!$A$2:$A$14,0))),""))</f>
        <v/>
      </c>
    </row>
    <row r="5" customFormat="false" ht="15" hidden="false" customHeight="true" outlineLevel="0" collapsed="false">
      <c r="F5" s="10" t="str">
        <f aca="false">IF($B5="","",IFERROR(INDEX(Probes!$B$2:$B$14,MATCH($B5,Probes!$A$2:$A$14,0)),"?"))</f>
        <v/>
      </c>
      <c r="G5" s="10" t="str">
        <f aca="false">IF($B5="","",IFERROR(T(INDEX(Probes!$E$2:$E$14,MATCH($B5,Probes!$A$2:$A$14,0))),""))</f>
        <v/>
      </c>
    </row>
    <row r="6" customFormat="false" ht="15" hidden="false" customHeight="true" outlineLevel="0" collapsed="false">
      <c r="F6" s="10" t="str">
        <f aca="false">IF($B6="","",IFERROR(INDEX(Probes!$B$2:$B$14,MATCH($B6,Probes!$A$2:$A$14,0)),"?"))</f>
        <v/>
      </c>
      <c r="G6" s="10" t="str">
        <f aca="false">IF($B6="","",IFERROR(T(INDEX(Probes!$E$2:$E$14,MATCH($B6,Probes!$A$2:$A$14,0))),""))</f>
        <v/>
      </c>
    </row>
    <row r="7" customFormat="false" ht="15" hidden="false" customHeight="true" outlineLevel="0" collapsed="false">
      <c r="F7" s="10" t="str">
        <f aca="false">IF($B7="","",IFERROR(INDEX(Probes!$B$2:$B$14,MATCH($B7,Probes!$A$2:$A$14,0)),"?"))</f>
        <v/>
      </c>
      <c r="G7" s="10" t="str">
        <f aca="false">IF($B7="","",IFERROR(T(INDEX(Probes!$E$2:$E$14,MATCH($B7,Probes!$A$2:$A$14,0))),""))</f>
        <v/>
      </c>
    </row>
    <row r="8" customFormat="false" ht="15" hidden="false" customHeight="true" outlineLevel="0" collapsed="false">
      <c r="F8" s="10" t="str">
        <f aca="false">IF($B8="","",IFERROR(INDEX(Probes!$B$2:$B$14,MATCH($B8,Probes!$A$2:$A$14,0)),"?"))</f>
        <v/>
      </c>
      <c r="G8" s="10" t="str">
        <f aca="false">IF($B8="","",IFERROR(T(INDEX(Probes!$E$2:$E$14,MATCH($B8,Probes!$A$2:$A$14,0))),""))</f>
        <v/>
      </c>
    </row>
    <row r="9" customFormat="false" ht="15" hidden="false" customHeight="true" outlineLevel="0" collapsed="false">
      <c r="F9" s="10" t="str">
        <f aca="false">IF($B9="","",IFERROR(INDEX(Probes!$B$2:$B$14,MATCH($B9,Probes!$A$2:$A$14,0)),"?"))</f>
        <v/>
      </c>
      <c r="G9" s="10" t="str">
        <f aca="false">IF($B9="","",IFERROR(T(INDEX(Probes!$E$2:$E$14,MATCH($B9,Probes!$A$2:$A$14,0))),""))</f>
        <v/>
      </c>
    </row>
    <row r="10" customFormat="false" ht="15" hidden="false" customHeight="true" outlineLevel="0" collapsed="false">
      <c r="F10" s="10" t="str">
        <f aca="false">IF($B10="","",IFERROR(INDEX(Probes!$B$2:$B$14,MATCH($B10,Probes!$A$2:$A$14,0)),"?"))</f>
        <v/>
      </c>
      <c r="G10" s="10" t="str">
        <f aca="false">IF($B10="","",IFERROR(T(INDEX(Probes!$E$2:$E$14,MATCH($B10,Probes!$A$2:$A$14,0))),""))</f>
        <v/>
      </c>
    </row>
    <row r="11" customFormat="false" ht="15" hidden="false" customHeight="true" outlineLevel="0" collapsed="false">
      <c r="F11" s="10" t="str">
        <f aca="false">IF($B11="","",IFERROR(INDEX(Probes!$B$2:$B$14,MATCH($B11,Probes!$A$2:$A$14,0)),"?"))</f>
        <v/>
      </c>
      <c r="G11" s="10" t="str">
        <f aca="false">IF($B11="","",IFERROR(T(INDEX(Probes!$E$2:$E$14,MATCH($B11,Probes!$A$2:$A$14,0))),""))</f>
        <v/>
      </c>
    </row>
    <row r="12" customFormat="false" ht="15" hidden="false" customHeight="true" outlineLevel="0" collapsed="false">
      <c r="F12" s="10" t="str">
        <f aca="false">IF($B12="","",IFERROR(INDEX(Probes!$B$2:$B$14,MATCH($B12,Probes!$A$2:$A$14,0)),"?"))</f>
        <v/>
      </c>
      <c r="G12" s="10" t="str">
        <f aca="false">IF($B12="","",IFERROR(T(INDEX(Probes!$E$2:$E$14,MATCH($B12,Probes!$A$2:$A$14,0))),""))</f>
        <v/>
      </c>
    </row>
    <row r="13" customFormat="false" ht="15" hidden="false" customHeight="true" outlineLevel="0" collapsed="false">
      <c r="F13" s="10" t="str">
        <f aca="false">IF($B13="","",IFERROR(INDEX(Probes!$B$2:$B$14,MATCH($B13,Probes!$A$2:$A$14,0)),"?"))</f>
        <v/>
      </c>
      <c r="G13" s="10" t="str">
        <f aca="false">IF($B13="","",IFERROR(T(INDEX(Probes!$E$2:$E$14,MATCH($B13,Probes!$A$2:$A$14,0))),""))</f>
        <v/>
      </c>
    </row>
    <row r="14" customFormat="false" ht="15" hidden="false" customHeight="true" outlineLevel="0" collapsed="false">
      <c r="F14" s="10" t="str">
        <f aca="false">IF($B14="","",IFERROR(INDEX(Probes!$B$2:$B$14,MATCH($B14,Probes!$A$2:$A$14,0)),"?"))</f>
        <v/>
      </c>
      <c r="G14" s="10" t="str">
        <f aca="false">IF($B14="","",IFERROR(T(INDEX(Probes!$E$2:$E$14,MATCH($B14,Probes!$A$2:$A$14,0))),""))</f>
        <v/>
      </c>
    </row>
    <row r="15" customFormat="false" ht="15" hidden="false" customHeight="true" outlineLevel="0" collapsed="false">
      <c r="F15" s="10" t="str">
        <f aca="false">IF($B15="","",IFERROR(INDEX(Probes!$B$2:$B$14,MATCH($B15,Probes!$A$2:$A$14,0)),"?"))</f>
        <v/>
      </c>
      <c r="G15" s="10" t="str">
        <f aca="false">IF($B15="","",IFERROR(T(INDEX(Probes!$E$2:$E$14,MATCH($B15,Probes!$A$2:$A$14,0))),""))</f>
        <v/>
      </c>
    </row>
    <row r="16" customFormat="false" ht="15" hidden="false" customHeight="true" outlineLevel="0" collapsed="false">
      <c r="F16" s="10" t="str">
        <f aca="false">IF($B16="","",IFERROR(INDEX(Probes!$B$2:$B$14,MATCH($B16,Probes!$A$2:$A$14,0)),"?"))</f>
        <v/>
      </c>
      <c r="G16" s="10" t="str">
        <f aca="false">IF($B16="","",IFERROR(T(INDEX(Probes!$E$2:$E$14,MATCH($B16,Probes!$A$2:$A$14,0))),""))</f>
        <v/>
      </c>
    </row>
    <row r="17" customFormat="false" ht="15" hidden="false" customHeight="true" outlineLevel="0" collapsed="false">
      <c r="F17" s="10" t="str">
        <f aca="false">IF($B17="","",IFERROR(INDEX(Probes!$B$2:$B$14,MATCH($B17,Probes!$A$2:$A$14,0)),"?"))</f>
        <v/>
      </c>
      <c r="G17" s="10" t="str">
        <f aca="false">IF($B17="","",IFERROR(T(INDEX(Probes!$E$2:$E$14,MATCH($B17,Probes!$A$2:$A$14,0))),""))</f>
        <v/>
      </c>
    </row>
    <row r="18" customFormat="false" ht="15" hidden="false" customHeight="true" outlineLevel="0" collapsed="false">
      <c r="F18" s="10" t="str">
        <f aca="false">IF($B18="","",IFERROR(INDEX(Probes!$B$2:$B$14,MATCH($B18,Probes!$A$2:$A$14,0)),"?"))</f>
        <v/>
      </c>
      <c r="G18" s="10" t="str">
        <f aca="false">IF($B18="","",IFERROR(T(INDEX(Probes!$E$2:$E$14,MATCH($B18,Probes!$A$2:$A$14,0))),""))</f>
        <v/>
      </c>
    </row>
    <row r="19" customFormat="false" ht="15" hidden="false" customHeight="true" outlineLevel="0" collapsed="false">
      <c r="F19" s="10" t="str">
        <f aca="false">IF($B19="","",IFERROR(INDEX(Probes!$B$2:$B$14,MATCH($B19,Probes!$A$2:$A$14,0)),"?"))</f>
        <v/>
      </c>
      <c r="G19" s="10" t="str">
        <f aca="false">IF($B19="","",IFERROR(T(INDEX(Probes!$E$2:$E$14,MATCH($B19,Probes!$A$2:$A$14,0))),""))</f>
        <v/>
      </c>
    </row>
    <row r="20" customFormat="false" ht="15" hidden="false" customHeight="true" outlineLevel="0" collapsed="false">
      <c r="F20" s="10" t="str">
        <f aca="false">IF($B20="","",IFERROR(INDEX(Probes!$B$2:$B$14,MATCH($B20,Probes!$A$2:$A$14,0)),"?"))</f>
        <v/>
      </c>
      <c r="G20" s="10" t="str">
        <f aca="false">IF($B20="","",IFERROR(T(INDEX(Probes!$E$2:$E$14,MATCH($B20,Probes!$A$2:$A$14,0))),""))</f>
        <v/>
      </c>
    </row>
    <row r="21" customFormat="false" ht="15" hidden="false" customHeight="true" outlineLevel="0" collapsed="false">
      <c r="F21" s="10" t="str">
        <f aca="false">IF($B21="","",IFERROR(INDEX(Probes!$B$2:$B$14,MATCH($B21,Probes!$A$2:$A$14,0)),"?"))</f>
        <v/>
      </c>
      <c r="G21" s="10" t="str">
        <f aca="false">IF($B21="","",IFERROR(T(INDEX(Probes!$E$2:$E$14,MATCH($B21,Probes!$A$2:$A$14,0))),""))</f>
        <v/>
      </c>
    </row>
    <row r="22" customFormat="false" ht="15" hidden="false" customHeight="true" outlineLevel="0" collapsed="false">
      <c r="F22" s="10" t="str">
        <f aca="false">IF($B22="","",IFERROR(INDEX(Probes!$B$2:$B$14,MATCH($B22,Probes!$A$2:$A$14,0)),"?"))</f>
        <v/>
      </c>
      <c r="G22" s="10" t="str">
        <f aca="false">IF($B22="","",IFERROR(T(INDEX(Probes!$E$2:$E$14,MATCH($B22,Probes!$A$2:$A$14,0))),""))</f>
        <v/>
      </c>
    </row>
    <row r="23" customFormat="false" ht="15" hidden="false" customHeight="true" outlineLevel="0" collapsed="false">
      <c r="F23" s="10" t="str">
        <f aca="false">IF($B23="","",IFERROR(INDEX(Probes!$B$2:$B$14,MATCH($B23,Probes!$A$2:$A$14,0)),"?"))</f>
        <v/>
      </c>
      <c r="G23" s="10" t="str">
        <f aca="false">IF($B23="","",IFERROR(T(INDEX(Probes!$E$2:$E$14,MATCH($B23,Probes!$A$2:$A$14,0))),""))</f>
        <v/>
      </c>
    </row>
    <row r="24" customFormat="false" ht="15" hidden="false" customHeight="true" outlineLevel="0" collapsed="false">
      <c r="F24" s="10" t="str">
        <f aca="false">IF($B24="","",IFERROR(INDEX(Probes!$B$2:$B$14,MATCH($B24,Probes!$A$2:$A$14,0)),"?"))</f>
        <v/>
      </c>
      <c r="G24" s="10" t="str">
        <f aca="false">IF($B24="","",IFERROR(T(INDEX(Probes!$E$2:$E$14,MATCH($B24,Probes!$A$2:$A$14,0))),""))</f>
        <v/>
      </c>
    </row>
    <row r="25" customFormat="false" ht="15" hidden="false" customHeight="true" outlineLevel="0" collapsed="false">
      <c r="F25" s="10" t="str">
        <f aca="false">IF($B25="","",IFERROR(INDEX(Probes!$B$2:$B$14,MATCH($B25,Probes!$A$2:$A$14,0)),"?"))</f>
        <v/>
      </c>
      <c r="G25" s="10" t="str">
        <f aca="false">IF($B25="","",IFERROR(T(INDEX(Probes!$E$2:$E$14,MATCH($B25,Probes!$A$2:$A$14,0))),""))</f>
        <v/>
      </c>
    </row>
    <row r="26" customFormat="false" ht="15" hidden="false" customHeight="true" outlineLevel="0" collapsed="false">
      <c r="F26" s="10" t="str">
        <f aca="false">IF($B26="","",IFERROR(INDEX(Probes!$B$2:$B$14,MATCH($B26,Probes!$A$2:$A$14,0)),"?"))</f>
        <v/>
      </c>
      <c r="G26" s="10" t="str">
        <f aca="false">IF($B26="","",IFERROR(T(INDEX(Probes!$E$2:$E$14,MATCH($B26,Probes!$A$2:$A$14,0))),""))</f>
        <v/>
      </c>
    </row>
    <row r="27" customFormat="false" ht="15" hidden="false" customHeight="true" outlineLevel="0" collapsed="false">
      <c r="F27" s="10" t="str">
        <f aca="false">IF($B27="","",IFERROR(INDEX(Probes!$B$2:$B$14,MATCH($B27,Probes!$A$2:$A$14,0)),"?"))</f>
        <v/>
      </c>
      <c r="G27" s="10" t="str">
        <f aca="false">IF($B27="","",IFERROR(T(INDEX(Probes!$E$2:$E$14,MATCH($B27,Probes!$A$2:$A$14,0))),""))</f>
        <v/>
      </c>
    </row>
    <row r="28" customFormat="false" ht="15" hidden="false" customHeight="true" outlineLevel="0" collapsed="false">
      <c r="F28" s="10" t="str">
        <f aca="false">IF($B28="","",IFERROR(INDEX(Probes!$B$2:$B$14,MATCH($B28,Probes!$A$2:$A$14,0)),"?"))</f>
        <v/>
      </c>
      <c r="G28" s="10" t="str">
        <f aca="false">IF($B28="","",IFERROR(T(INDEX(Probes!$E$2:$E$14,MATCH($B28,Probes!$A$2:$A$14,0))),""))</f>
        <v/>
      </c>
    </row>
    <row r="29" customFormat="false" ht="15" hidden="false" customHeight="true" outlineLevel="0" collapsed="false">
      <c r="F29" s="10" t="str">
        <f aca="false">IF($B29="","",IFERROR(INDEX(Probes!$B$2:$B$14,MATCH($B29,Probes!$A$2:$A$14,0)),"?"))</f>
        <v/>
      </c>
      <c r="G29" s="10" t="str">
        <f aca="false">IF($B29="","",IFERROR(T(INDEX(Probes!$E$2:$E$14,MATCH($B29,Probes!$A$2:$A$14,0))),""))</f>
        <v/>
      </c>
    </row>
    <row r="30" customFormat="false" ht="15" hidden="false" customHeight="true" outlineLevel="0" collapsed="false">
      <c r="F30" s="10" t="str">
        <f aca="false">IF($B30="","",IFERROR(INDEX(Probes!$B$2:$B$14,MATCH($B30,Probes!$A$2:$A$14,0)),"?"))</f>
        <v/>
      </c>
      <c r="G30" s="10" t="str">
        <f aca="false">IF($B30="","",IFERROR(T(INDEX(Probes!$E$2:$E$14,MATCH($B30,Probes!$A$2:$A$14,0))),""))</f>
        <v/>
      </c>
    </row>
    <row r="31" customFormat="false" ht="15" hidden="false" customHeight="true" outlineLevel="0" collapsed="false">
      <c r="F31" s="10" t="str">
        <f aca="false">IF($B31="","",IFERROR(INDEX(Probes!$B$2:$B$14,MATCH($B31,Probes!$A$2:$A$14,0)),"?"))</f>
        <v/>
      </c>
      <c r="G31" s="10" t="str">
        <f aca="false">IF($B31="","",IFERROR(T(INDEX(Probes!$E$2:$E$14,MATCH($B31,Probes!$A$2:$A$14,0))),""))</f>
        <v/>
      </c>
    </row>
    <row r="32" customFormat="false" ht="15" hidden="false" customHeight="true" outlineLevel="0" collapsed="false">
      <c r="F32" s="10" t="str">
        <f aca="false">IF($B32="","",IFERROR(INDEX(Probes!$B$2:$B$14,MATCH($B32,Probes!$A$2:$A$14,0)),"?"))</f>
        <v/>
      </c>
      <c r="G32" s="10" t="str">
        <f aca="false">IF($B32="","",IFERROR(T(INDEX(Probes!$E$2:$E$14,MATCH($B32,Probes!$A$2:$A$14,0))),""))</f>
        <v/>
      </c>
    </row>
    <row r="33" customFormat="false" ht="15" hidden="false" customHeight="true" outlineLevel="0" collapsed="false">
      <c r="F33" s="10" t="str">
        <f aca="false">IF($B33="","",IFERROR(INDEX(Probes!$B$2:$B$14,MATCH($B33,Probes!$A$2:$A$14,0)),"?"))</f>
        <v/>
      </c>
      <c r="G33" s="10" t="str">
        <f aca="false">IF($B33="","",IFERROR(T(INDEX(Probes!$E$2:$E$14,MATCH($B33,Probes!$A$2:$A$14,0))),""))</f>
        <v/>
      </c>
    </row>
    <row r="34" customFormat="false" ht="15" hidden="false" customHeight="true" outlineLevel="0" collapsed="false">
      <c r="F34" s="10" t="str">
        <f aca="false">IF($B34="","",IFERROR(INDEX(Probes!$B$2:$B$14,MATCH($B34,Probes!$A$2:$A$14,0)),"?"))</f>
        <v/>
      </c>
      <c r="G34" s="10" t="str">
        <f aca="false">IF($B34="","",IFERROR(T(INDEX(Probes!$E$2:$E$14,MATCH($B34,Probes!$A$2:$A$14,0))),""))</f>
        <v/>
      </c>
    </row>
    <row r="35" customFormat="false" ht="15" hidden="false" customHeight="true" outlineLevel="0" collapsed="false">
      <c r="F35" s="10" t="str">
        <f aca="false">IF($B35="","",IFERROR(INDEX(Probes!$B$2:$B$14,MATCH($B35,Probes!$A$2:$A$14,0)),"?"))</f>
        <v/>
      </c>
      <c r="G35" s="10" t="str">
        <f aca="false">IF($B35="","",IFERROR(T(INDEX(Probes!$E$2:$E$14,MATCH($B35,Probes!$A$2:$A$14,0))),""))</f>
        <v/>
      </c>
    </row>
    <row r="36" customFormat="false" ht="15" hidden="false" customHeight="true" outlineLevel="0" collapsed="false">
      <c r="F36" s="10" t="str">
        <f aca="false">IF($B36="","",IFERROR(INDEX(Probes!$B$2:$B$14,MATCH($B36,Probes!$A$2:$A$14,0)),"?"))</f>
        <v/>
      </c>
      <c r="G36" s="10" t="str">
        <f aca="false">IF($B36="","",IFERROR(T(INDEX(Probes!$E$2:$E$14,MATCH($B36,Probes!$A$2:$A$14,0))),""))</f>
        <v/>
      </c>
    </row>
    <row r="37" customFormat="false" ht="15" hidden="false" customHeight="true" outlineLevel="0" collapsed="false">
      <c r="F37" s="10" t="str">
        <f aca="false">IF($B37="","",IFERROR(INDEX(Probes!$B$2:$B$14,MATCH($B37,Probes!$A$2:$A$14,0)),"?"))</f>
        <v/>
      </c>
      <c r="G37" s="10" t="str">
        <f aca="false">IF($B37="","",IFERROR(T(INDEX(Probes!$E$2:$E$14,MATCH($B37,Probes!$A$2:$A$14,0))),""))</f>
        <v/>
      </c>
    </row>
    <row r="38" customFormat="false" ht="15" hidden="false" customHeight="true" outlineLevel="0" collapsed="false">
      <c r="F38" s="10" t="str">
        <f aca="false">IF($B38="","",IFERROR(INDEX(Probes!$B$2:$B$14,MATCH($B38,Probes!$A$2:$A$14,0)),"?"))</f>
        <v/>
      </c>
      <c r="G38" s="10" t="str">
        <f aca="false">IF($B38="","",IFERROR(T(INDEX(Probes!$E$2:$E$14,MATCH($B38,Probes!$A$2:$A$14,0))),""))</f>
        <v/>
      </c>
    </row>
    <row r="39" customFormat="false" ht="15" hidden="false" customHeight="true" outlineLevel="0" collapsed="false">
      <c r="F39" s="10" t="str">
        <f aca="false">IF($B39="","",IFERROR(INDEX(Probes!$B$2:$B$14,MATCH($B39,Probes!$A$2:$A$14,0)),"?"))</f>
        <v/>
      </c>
      <c r="G39" s="10" t="str">
        <f aca="false">IF($B39="","",IFERROR(T(INDEX(Probes!$E$2:$E$14,MATCH($B39,Probes!$A$2:$A$14,0))),""))</f>
        <v/>
      </c>
    </row>
    <row r="40" customFormat="false" ht="15" hidden="false" customHeight="true" outlineLevel="0" collapsed="false">
      <c r="F40" s="10" t="str">
        <f aca="false">IF($B40="","",IFERROR(INDEX(Probes!$B$2:$B$14,MATCH($B40,Probes!$A$2:$A$14,0)),"?"))</f>
        <v/>
      </c>
      <c r="G40" s="10" t="str">
        <f aca="false">IF($B40="","",IFERROR(T(INDEX(Probes!$E$2:$E$14,MATCH($B40,Probes!$A$2:$A$14,0))),""))</f>
        <v/>
      </c>
    </row>
    <row r="41" customFormat="false" ht="15" hidden="false" customHeight="true" outlineLevel="0" collapsed="false">
      <c r="F41" s="10" t="str">
        <f aca="false">IF($B41="","",IFERROR(INDEX(Probes!$B$2:$B$14,MATCH($B41,Probes!$A$2:$A$14,0)),"?"))</f>
        <v/>
      </c>
      <c r="G41" s="10" t="str">
        <f aca="false">IF($B41="","",IFERROR(T(INDEX(Probes!$E$2:$E$14,MATCH($B41,Probes!$A$2:$A$14,0))),""))</f>
        <v/>
      </c>
    </row>
    <row r="42" customFormat="false" ht="15" hidden="false" customHeight="true" outlineLevel="0" collapsed="false">
      <c r="F42" s="10" t="str">
        <f aca="false">IF($B42="","",IFERROR(INDEX(Probes!$B$2:$B$14,MATCH($B42,Probes!$A$2:$A$14,0)),"?"))</f>
        <v/>
      </c>
      <c r="G42" s="10" t="str">
        <f aca="false">IF($B42="","",IFERROR(T(INDEX(Probes!$E$2:$E$14,MATCH($B42,Probes!$A$2:$A$14,0))),""))</f>
        <v/>
      </c>
    </row>
    <row r="43" customFormat="false" ht="15" hidden="false" customHeight="true" outlineLevel="0" collapsed="false">
      <c r="F43" s="10" t="str">
        <f aca="false">IF($B43="","",IFERROR(INDEX(Probes!$B$2:$B$14,MATCH($B43,Probes!$A$2:$A$14,0)),"?"))</f>
        <v/>
      </c>
      <c r="G43" s="10" t="str">
        <f aca="false">IF($B43="","",IFERROR(T(INDEX(Probes!$E$2:$E$14,MATCH($B43,Probes!$A$2:$A$14,0))),""))</f>
        <v/>
      </c>
    </row>
    <row r="44" customFormat="false" ht="15" hidden="false" customHeight="true" outlineLevel="0" collapsed="false">
      <c r="F44" s="10" t="str">
        <f aca="false">IF($B44="","",IFERROR(INDEX(Probes!$B$2:$B$14,MATCH($B44,Probes!$A$2:$A$14,0)),"?"))</f>
        <v/>
      </c>
      <c r="G44" s="10" t="str">
        <f aca="false">IF($B44="","",IFERROR(T(INDEX(Probes!$E$2:$E$14,MATCH($B44,Probes!$A$2:$A$14,0))),""))</f>
        <v/>
      </c>
    </row>
    <row r="45" customFormat="false" ht="15" hidden="false" customHeight="true" outlineLevel="0" collapsed="false">
      <c r="F45" s="10" t="str">
        <f aca="false">IF($B45="","",IFERROR(INDEX(Probes!$B$2:$B$14,MATCH($B45,Probes!$A$2:$A$14,0)),"?"))</f>
        <v/>
      </c>
      <c r="G45" s="10" t="str">
        <f aca="false">IF($B45="","",IFERROR(T(INDEX(Probes!$E$2:$E$14,MATCH($B45,Probes!$A$2:$A$14,0))),""))</f>
        <v/>
      </c>
    </row>
    <row r="46" customFormat="false" ht="15" hidden="false" customHeight="true" outlineLevel="0" collapsed="false">
      <c r="F46" s="10" t="str">
        <f aca="false">IF($B46="","",IFERROR(INDEX(Probes!$B$2:$B$14,MATCH($B46,Probes!$A$2:$A$14,0)),"?"))</f>
        <v/>
      </c>
      <c r="G46" s="10" t="str">
        <f aca="false">IF($B46="","",IFERROR(T(INDEX(Probes!$E$2:$E$14,MATCH($B46,Probes!$A$2:$A$14,0))),""))</f>
        <v/>
      </c>
    </row>
    <row r="47" customFormat="false" ht="15" hidden="false" customHeight="true" outlineLevel="0" collapsed="false">
      <c r="F47" s="10" t="str">
        <f aca="false">IF($B47="","",IFERROR(INDEX(Probes!$B$2:$B$14,MATCH($B47,Probes!$A$2:$A$14,0)),"?"))</f>
        <v/>
      </c>
      <c r="G47" s="10" t="str">
        <f aca="false">IF($B47="","",IFERROR(T(INDEX(Probes!$E$2:$E$14,MATCH($B47,Probes!$A$2:$A$14,0))),""))</f>
        <v/>
      </c>
    </row>
    <row r="48" customFormat="false" ht="15" hidden="false" customHeight="true" outlineLevel="0" collapsed="false">
      <c r="F48" s="10" t="str">
        <f aca="false">IF($B48="","",IFERROR(INDEX(Probes!$B$2:$B$14,MATCH($B48,Probes!$A$2:$A$14,0)),"?"))</f>
        <v/>
      </c>
      <c r="G48" s="10" t="str">
        <f aca="false">IF($B48="","",IFERROR(T(INDEX(Probes!$E$2:$E$14,MATCH($B48,Probes!$A$2:$A$14,0))),""))</f>
        <v/>
      </c>
    </row>
    <row r="49" customFormat="false" ht="15" hidden="false" customHeight="true" outlineLevel="0" collapsed="false">
      <c r="F49" s="10" t="str">
        <f aca="false">IF($B49="","",IFERROR(INDEX(Probes!$B$2:$B$14,MATCH($B49,Probes!$A$2:$A$14,0)),"?"))</f>
        <v/>
      </c>
      <c r="G49" s="10" t="str">
        <f aca="false">IF($B49="","",IFERROR(T(INDEX(Probes!$E$2:$E$14,MATCH($B49,Probes!$A$2:$A$14,0))),""))</f>
        <v/>
      </c>
    </row>
    <row r="50" customFormat="false" ht="15" hidden="false" customHeight="true" outlineLevel="0" collapsed="false">
      <c r="F50" s="10" t="str">
        <f aca="false">IF($B50="","",IFERROR(INDEX(Probes!$B$2:$B$14,MATCH($B50,Probes!$A$2:$A$14,0)),"?"))</f>
        <v/>
      </c>
      <c r="G50" s="10" t="str">
        <f aca="false">IF($B50="","",IFERROR(T(INDEX(Probes!$E$2:$E$14,MATCH($B50,Probes!$A$2:$A$14,0))),""))</f>
        <v/>
      </c>
    </row>
    <row r="51" customFormat="false" ht="15" hidden="false" customHeight="true" outlineLevel="0" collapsed="false">
      <c r="F51" s="10" t="str">
        <f aca="false">IF($B51="","",IFERROR(INDEX(Probes!$B$2:$B$14,MATCH($B51,Probes!$A$2:$A$14,0)),"?"))</f>
        <v/>
      </c>
      <c r="G51" s="10" t="str">
        <f aca="false">IF($B51="","",IFERROR(T(INDEX(Probes!$E$2:$E$14,MATCH($B51,Probes!$A$2:$A$14,0))),""))</f>
        <v/>
      </c>
    </row>
    <row r="52" customFormat="false" ht="15" hidden="false" customHeight="true" outlineLevel="0" collapsed="false">
      <c r="F52" s="10" t="str">
        <f aca="false">IF($B52="","",IFERROR(INDEX(Probes!$B$2:$B$14,MATCH($B52,Probes!$A$2:$A$14,0)),"?"))</f>
        <v/>
      </c>
      <c r="G52" s="10" t="str">
        <f aca="false">IF($B52="","",IFERROR(T(INDEX(Probes!$E$2:$E$14,MATCH($B52,Probes!$A$2:$A$14,0))),""))</f>
        <v/>
      </c>
    </row>
    <row r="53" customFormat="false" ht="15" hidden="false" customHeight="true" outlineLevel="0" collapsed="false">
      <c r="F53" s="10" t="str">
        <f aca="false">IF($B53="","",IFERROR(INDEX(Probes!$B$2:$B$14,MATCH($B53,Probes!$A$2:$A$14,0)),"?"))</f>
        <v/>
      </c>
      <c r="G53" s="10" t="str">
        <f aca="false">IF($B53="","",IFERROR(T(INDEX(Probes!$E$2:$E$14,MATCH($B53,Probes!$A$2:$A$14,0))),""))</f>
        <v/>
      </c>
    </row>
    <row r="54" customFormat="false" ht="15" hidden="false" customHeight="true" outlineLevel="0" collapsed="false">
      <c r="F54" s="10" t="str">
        <f aca="false">IF($B54="","",IFERROR(INDEX(Probes!$B$2:$B$14,MATCH($B54,Probes!$A$2:$A$14,0)),"?"))</f>
        <v/>
      </c>
      <c r="G54" s="10" t="str">
        <f aca="false">IF($B54="","",IFERROR(T(INDEX(Probes!$E$2:$E$14,MATCH($B54,Probes!$A$2:$A$14,0))),""))</f>
        <v/>
      </c>
    </row>
    <row r="55" customFormat="false" ht="15" hidden="false" customHeight="true" outlineLevel="0" collapsed="false">
      <c r="F55" s="10" t="str">
        <f aca="false">IF($B55="","",IFERROR(INDEX(Probes!$B$2:$B$14,MATCH($B55,Probes!$A$2:$A$14,0)),"?"))</f>
        <v/>
      </c>
      <c r="G55" s="10" t="str">
        <f aca="false">IF($B55="","",IFERROR(T(INDEX(Probes!$E$2:$E$14,MATCH($B55,Probes!$A$2:$A$14,0))),""))</f>
        <v/>
      </c>
    </row>
    <row r="56" customFormat="false" ht="15" hidden="false" customHeight="true" outlineLevel="0" collapsed="false">
      <c r="F56" s="10" t="str">
        <f aca="false">IF($B56="","",IFERROR(INDEX(Probes!$B$2:$B$14,MATCH($B56,Probes!$A$2:$A$14,0)),"?"))</f>
        <v/>
      </c>
      <c r="G56" s="10" t="str">
        <f aca="false">IF($B56="","",IFERROR(T(INDEX(Probes!$E$2:$E$14,MATCH($B56,Probes!$A$2:$A$14,0))),""))</f>
        <v/>
      </c>
    </row>
    <row r="57" customFormat="false" ht="15" hidden="false" customHeight="true" outlineLevel="0" collapsed="false">
      <c r="F57" s="10" t="str">
        <f aca="false">IF($B57="","",IFERROR(INDEX(Probes!$B$2:$B$14,MATCH($B57,Probes!$A$2:$A$14,0)),"?"))</f>
        <v/>
      </c>
      <c r="G57" s="10" t="str">
        <f aca="false">IF($B57="","",IFERROR(T(INDEX(Probes!$E$2:$E$14,MATCH($B57,Probes!$A$2:$A$14,0))),""))</f>
        <v/>
      </c>
    </row>
    <row r="58" customFormat="false" ht="15" hidden="false" customHeight="true" outlineLevel="0" collapsed="false">
      <c r="F58" s="10" t="str">
        <f aca="false">IF($B58="","",IFERROR(INDEX(Probes!$B$2:$B$14,MATCH($B58,Probes!$A$2:$A$14,0)),"?"))</f>
        <v/>
      </c>
      <c r="G58" s="10" t="str">
        <f aca="false">IF($B58="","",IFERROR(T(INDEX(Probes!$E$2:$E$14,MATCH($B58,Probes!$A$2:$A$14,0))),""))</f>
        <v/>
      </c>
    </row>
    <row r="59" customFormat="false" ht="15" hidden="false" customHeight="true" outlineLevel="0" collapsed="false">
      <c r="F59" s="10" t="str">
        <f aca="false">IF($B59="","",IFERROR(INDEX(Probes!$B$2:$B$14,MATCH($B59,Probes!$A$2:$A$14,0)),"?"))</f>
        <v/>
      </c>
      <c r="G59" s="10" t="str">
        <f aca="false">IF($B59="","",IFERROR(T(INDEX(Probes!$E$2:$E$14,MATCH($B59,Probes!$A$2:$A$14,0))),""))</f>
        <v/>
      </c>
    </row>
    <row r="60" customFormat="false" ht="15" hidden="false" customHeight="true" outlineLevel="0" collapsed="false">
      <c r="F60" s="10" t="str">
        <f aca="false">IF($B60="","",IFERROR(INDEX(Probes!$B$2:$B$14,MATCH($B60,Probes!$A$2:$A$14,0)),"?"))</f>
        <v/>
      </c>
      <c r="G60" s="10" t="str">
        <f aca="false">IF($B60="","",IFERROR(T(INDEX(Probes!$E$2:$E$14,MATCH($B60,Probes!$A$2:$A$14,0))),""))</f>
        <v/>
      </c>
    </row>
    <row r="61" customFormat="false" ht="15" hidden="false" customHeight="true" outlineLevel="0" collapsed="false">
      <c r="F61" s="10" t="str">
        <f aca="false">IF($B61="","",IFERROR(INDEX(Probes!$B$2:$B$14,MATCH($B61,Probes!$A$2:$A$14,0)),"?"))</f>
        <v/>
      </c>
      <c r="G61" s="10" t="str">
        <f aca="false">IF($B61="","",IFERROR(T(INDEX(Probes!$E$2:$E$14,MATCH($B61,Probes!$A$2:$A$14,0))),""))</f>
        <v/>
      </c>
    </row>
    <row r="62" customFormat="false" ht="15" hidden="false" customHeight="true" outlineLevel="0" collapsed="false">
      <c r="F62" s="10" t="str">
        <f aca="false">IF($B62="","",IFERROR(INDEX(Probes!$B$2:$B$14,MATCH($B62,Probes!$A$2:$A$14,0)),"?"))</f>
        <v/>
      </c>
      <c r="G62" s="10" t="str">
        <f aca="false">IF($B62="","",IFERROR(T(INDEX(Probes!$E$2:$E$14,MATCH($B62,Probes!$A$2:$A$14,0))),""))</f>
        <v/>
      </c>
    </row>
    <row r="63" customFormat="false" ht="15" hidden="false" customHeight="true" outlineLevel="0" collapsed="false">
      <c r="F63" s="10" t="str">
        <f aca="false">IF($B63="","",IFERROR(INDEX(Probes!$B$2:$B$14,MATCH($B63,Probes!$A$2:$A$14,0)),"?"))</f>
        <v/>
      </c>
      <c r="G63" s="10" t="str">
        <f aca="false">IF($B63="","",IFERROR(T(INDEX(Probes!$E$2:$E$14,MATCH($B63,Probes!$A$2:$A$14,0))),""))</f>
        <v/>
      </c>
    </row>
    <row r="64" customFormat="false" ht="15" hidden="false" customHeight="true" outlineLevel="0" collapsed="false">
      <c r="F64" s="10" t="str">
        <f aca="false">IF($B64="","",IFERROR(INDEX(Probes!$B$2:$B$14,MATCH($B64,Probes!$A$2:$A$14,0)),"?"))</f>
        <v/>
      </c>
      <c r="G64" s="10" t="str">
        <f aca="false">IF($B64="","",IFERROR(T(INDEX(Probes!$E$2:$E$14,MATCH($B64,Probes!$A$2:$A$14,0))),""))</f>
        <v/>
      </c>
    </row>
    <row r="65" customFormat="false" ht="15" hidden="false" customHeight="true" outlineLevel="0" collapsed="false">
      <c r="F65" s="10" t="str">
        <f aca="false">IF($B65="","",IFERROR(INDEX(Probes!$B$2:$B$14,MATCH($B65,Probes!$A$2:$A$14,0)),"?"))</f>
        <v/>
      </c>
      <c r="G65" s="10" t="str">
        <f aca="false">IF($B65="","",IFERROR(T(INDEX(Probes!$E$2:$E$14,MATCH($B65,Probes!$A$2:$A$14,0))),""))</f>
        <v/>
      </c>
    </row>
    <row r="66" customFormat="false" ht="15" hidden="false" customHeight="true" outlineLevel="0" collapsed="false">
      <c r="F66" s="10" t="str">
        <f aca="false">IF($B66="","",IFERROR(INDEX(Probes!$B$2:$B$14,MATCH($B66,Probes!$A$2:$A$14,0)),"?"))</f>
        <v/>
      </c>
      <c r="G66" s="10" t="str">
        <f aca="false">IF($B66="","",IFERROR(T(INDEX(Probes!$E$2:$E$14,MATCH($B66,Probes!$A$2:$A$14,0))),""))</f>
        <v/>
      </c>
    </row>
    <row r="67" customFormat="false" ht="15" hidden="false" customHeight="true" outlineLevel="0" collapsed="false">
      <c r="F67" s="10" t="str">
        <f aca="false">IF($B67="","",IFERROR(INDEX(Probes!$B$2:$B$14,MATCH($B67,Probes!$A$2:$A$14,0)),"?"))</f>
        <v/>
      </c>
      <c r="G67" s="10" t="str">
        <f aca="false">IF($B67="","",IFERROR(T(INDEX(Probes!$E$2:$E$14,MATCH($B67,Probes!$A$2:$A$14,0))),""))</f>
        <v/>
      </c>
    </row>
    <row r="68" customFormat="false" ht="15" hidden="false" customHeight="true" outlineLevel="0" collapsed="false">
      <c r="F68" s="10" t="str">
        <f aca="false">IF($B68="","",IFERROR(INDEX(Probes!$B$2:$B$14,MATCH($B68,Probes!$A$2:$A$14,0)),"?"))</f>
        <v/>
      </c>
      <c r="G68" s="10" t="str">
        <f aca="false">IF($B68="","",IFERROR(T(INDEX(Probes!$E$2:$E$14,MATCH($B68,Probes!$A$2:$A$14,0))),""))</f>
        <v/>
      </c>
    </row>
    <row r="69" customFormat="false" ht="15" hidden="false" customHeight="true" outlineLevel="0" collapsed="false">
      <c r="F69" s="10" t="str">
        <f aca="false">IF($B69="","",IFERROR(INDEX(Probes!$B$2:$B$14,MATCH($B69,Probes!$A$2:$A$14,0)),"?"))</f>
        <v/>
      </c>
      <c r="G69" s="10" t="str">
        <f aca="false">IF($B69="","",IFERROR(T(INDEX(Probes!$E$2:$E$14,MATCH($B69,Probes!$A$2:$A$14,0))),""))</f>
        <v/>
      </c>
    </row>
    <row r="70" customFormat="false" ht="15" hidden="false" customHeight="true" outlineLevel="0" collapsed="false">
      <c r="F70" s="10" t="str">
        <f aca="false">IF($B70="","",IFERROR(INDEX(Probes!$B$2:$B$14,MATCH($B70,Probes!$A$2:$A$14,0)),"?"))</f>
        <v/>
      </c>
      <c r="G70" s="10" t="str">
        <f aca="false">IF($B70="","",IFERROR(T(INDEX(Probes!$E$2:$E$14,MATCH($B70,Probes!$A$2:$A$14,0))),""))</f>
        <v/>
      </c>
    </row>
    <row r="71" customFormat="false" ht="15" hidden="false" customHeight="true" outlineLevel="0" collapsed="false">
      <c r="F71" s="10" t="str">
        <f aca="false">IF($B71="","",IFERROR(INDEX(Probes!$B$2:$B$14,MATCH($B71,Probes!$A$2:$A$14,0)),"?"))</f>
        <v/>
      </c>
      <c r="G71" s="10" t="str">
        <f aca="false">IF($B71="","",IFERROR(T(INDEX(Probes!$E$2:$E$14,MATCH($B71,Probes!$A$2:$A$14,0))),""))</f>
        <v/>
      </c>
    </row>
    <row r="72" customFormat="false" ht="15" hidden="false" customHeight="true" outlineLevel="0" collapsed="false">
      <c r="F72" s="10" t="str">
        <f aca="false">IF($B72="","",IFERROR(INDEX(Probes!$B$2:$B$14,MATCH($B72,Probes!$A$2:$A$14,0)),"?"))</f>
        <v/>
      </c>
      <c r="G72" s="10" t="str">
        <f aca="false">IF($B72="","",IFERROR(T(INDEX(Probes!$E$2:$E$14,MATCH($B72,Probes!$A$2:$A$14,0))),""))</f>
        <v/>
      </c>
    </row>
    <row r="73" customFormat="false" ht="15" hidden="false" customHeight="true" outlineLevel="0" collapsed="false">
      <c r="F73" s="10" t="str">
        <f aca="false">IF($B73="","",IFERROR(INDEX(Probes!$B$2:$B$14,MATCH($B73,Probes!$A$2:$A$14,0)),"?"))</f>
        <v/>
      </c>
      <c r="G73" s="10" t="str">
        <f aca="false">IF($B73="","",IFERROR(T(INDEX(Probes!$E$2:$E$14,MATCH($B73,Probes!$A$2:$A$14,0))),""))</f>
        <v/>
      </c>
    </row>
    <row r="74" customFormat="false" ht="15" hidden="false" customHeight="true" outlineLevel="0" collapsed="false">
      <c r="F74" s="10" t="str">
        <f aca="false">IF($B74="","",IFERROR(INDEX(Probes!$B$2:$B$14,MATCH($B74,Probes!$A$2:$A$14,0)),"?"))</f>
        <v/>
      </c>
      <c r="G74" s="10" t="str">
        <f aca="false">IF($B74="","",IFERROR(T(INDEX(Probes!$E$2:$E$14,MATCH($B74,Probes!$A$2:$A$14,0))),""))</f>
        <v/>
      </c>
    </row>
    <row r="75" customFormat="false" ht="15" hidden="false" customHeight="true" outlineLevel="0" collapsed="false">
      <c r="F75" s="10" t="str">
        <f aca="false">IF($B75="","",IFERROR(INDEX(Probes!$B$2:$B$14,MATCH($B75,Probes!$A$2:$A$14,0)),"?"))</f>
        <v/>
      </c>
      <c r="G75" s="10" t="str">
        <f aca="false">IF($B75="","",IFERROR(T(INDEX(Probes!$E$2:$E$14,MATCH($B75,Probes!$A$2:$A$14,0))),""))</f>
        <v/>
      </c>
    </row>
    <row r="76" customFormat="false" ht="15" hidden="false" customHeight="true" outlineLevel="0" collapsed="false">
      <c r="F76" s="10" t="str">
        <f aca="false">IF($B76="","",IFERROR(INDEX(Probes!$B$2:$B$14,MATCH($B76,Probes!$A$2:$A$14,0)),"?"))</f>
        <v/>
      </c>
      <c r="G76" s="10" t="str">
        <f aca="false">IF($B76="","",IFERROR(T(INDEX(Probes!$E$2:$E$14,MATCH($B76,Probes!$A$2:$A$14,0))),""))</f>
        <v/>
      </c>
    </row>
    <row r="77" customFormat="false" ht="15" hidden="false" customHeight="true" outlineLevel="0" collapsed="false">
      <c r="F77" s="10" t="str">
        <f aca="false">IF($B77="","",IFERROR(INDEX(Probes!$B$2:$B$14,MATCH($B77,Probes!$A$2:$A$14,0)),"?"))</f>
        <v/>
      </c>
      <c r="G77" s="10" t="str">
        <f aca="false">IF($B77="","",IFERROR(T(INDEX(Probes!$E$2:$E$14,MATCH($B77,Probes!$A$2:$A$14,0))),""))</f>
        <v/>
      </c>
    </row>
    <row r="78" customFormat="false" ht="15" hidden="false" customHeight="true" outlineLevel="0" collapsed="false">
      <c r="F78" s="10" t="str">
        <f aca="false">IF($B78="","",IFERROR(INDEX(Probes!$B$2:$B$14,MATCH($B78,Probes!$A$2:$A$14,0)),"?"))</f>
        <v/>
      </c>
      <c r="G78" s="10" t="str">
        <f aca="false">IF($B78="","",IFERROR(T(INDEX(Probes!$E$2:$E$14,MATCH($B78,Probes!$A$2:$A$14,0))),""))</f>
        <v/>
      </c>
    </row>
    <row r="79" customFormat="false" ht="15" hidden="false" customHeight="true" outlineLevel="0" collapsed="false">
      <c r="F79" s="10" t="str">
        <f aca="false">IF($B79="","",IFERROR(INDEX(Probes!$B$2:$B$14,MATCH($B79,Probes!$A$2:$A$14,0)),"?"))</f>
        <v/>
      </c>
      <c r="G79" s="10" t="str">
        <f aca="false">IF($B79="","",IFERROR(T(INDEX(Probes!$E$2:$E$14,MATCH($B79,Probes!$A$2:$A$14,0))),""))</f>
        <v/>
      </c>
    </row>
    <row r="80" customFormat="false" ht="15" hidden="false" customHeight="true" outlineLevel="0" collapsed="false">
      <c r="F80" s="10" t="str">
        <f aca="false">IF($B80="","",IFERROR(INDEX(Probes!$B$2:$B$14,MATCH($B80,Probes!$A$2:$A$14,0)),"?"))</f>
        <v/>
      </c>
      <c r="G80" s="10" t="str">
        <f aca="false">IF($B80="","",IFERROR(T(INDEX(Probes!$E$2:$E$14,MATCH($B80,Probes!$A$2:$A$14,0))),""))</f>
        <v/>
      </c>
    </row>
    <row r="81" customFormat="false" ht="15" hidden="false" customHeight="true" outlineLevel="0" collapsed="false">
      <c r="F81" s="10" t="str">
        <f aca="false">IF($B81="","",IFERROR(INDEX(Probes!$B$2:$B$14,MATCH($B81,Probes!$A$2:$A$14,0)),"?"))</f>
        <v/>
      </c>
      <c r="G81" s="10" t="str">
        <f aca="false">IF($B81="","",IFERROR(T(INDEX(Probes!$E$2:$E$14,MATCH($B81,Probes!$A$2:$A$14,0))),""))</f>
        <v/>
      </c>
    </row>
    <row r="82" customFormat="false" ht="15" hidden="false" customHeight="true" outlineLevel="0" collapsed="false">
      <c r="F82" s="10" t="str">
        <f aca="false">IF($B82="","",IFERROR(INDEX(Probes!$B$2:$B$14,MATCH($B82,Probes!$A$2:$A$14,0)),"?"))</f>
        <v/>
      </c>
      <c r="G82" s="10" t="str">
        <f aca="false">IF($B82="","",IFERROR(T(INDEX(Probes!$E$2:$E$14,MATCH($B82,Probes!$A$2:$A$14,0))),""))</f>
        <v/>
      </c>
    </row>
    <row r="83" customFormat="false" ht="15" hidden="false" customHeight="true" outlineLevel="0" collapsed="false">
      <c r="F83" s="10" t="str">
        <f aca="false">IF($B83="","",IFERROR(INDEX(Probes!$B$2:$B$14,MATCH($B83,Probes!$A$2:$A$14,0)),"?"))</f>
        <v/>
      </c>
      <c r="G83" s="10" t="str">
        <f aca="false">IF($B83="","",IFERROR(T(INDEX(Probes!$E$2:$E$14,MATCH($B83,Probes!$A$2:$A$14,0))),""))</f>
        <v/>
      </c>
    </row>
    <row r="84" customFormat="false" ht="15" hidden="false" customHeight="true" outlineLevel="0" collapsed="false">
      <c r="F84" s="10" t="str">
        <f aca="false">IF($B84="","",IFERROR(INDEX(Probes!$B$2:$B$14,MATCH($B84,Probes!$A$2:$A$14,0)),"?"))</f>
        <v/>
      </c>
      <c r="G84" s="10" t="str">
        <f aca="false">IF($B84="","",IFERROR(T(INDEX(Probes!$E$2:$E$14,MATCH($B84,Probes!$A$2:$A$14,0))),""))</f>
        <v/>
      </c>
    </row>
    <row r="85" customFormat="false" ht="15" hidden="false" customHeight="true" outlineLevel="0" collapsed="false">
      <c r="F85" s="10" t="str">
        <f aca="false">IF($B85="","",IFERROR(INDEX(Probes!$B$2:$B$14,MATCH($B85,Probes!$A$2:$A$14,0)),"?"))</f>
        <v/>
      </c>
      <c r="G85" s="10" t="str">
        <f aca="false">IF($B85="","",IFERROR(T(INDEX(Probes!$E$2:$E$14,MATCH($B85,Probes!$A$2:$A$14,0))),""))</f>
        <v/>
      </c>
    </row>
    <row r="86" customFormat="false" ht="15" hidden="false" customHeight="true" outlineLevel="0" collapsed="false">
      <c r="F86" s="10" t="str">
        <f aca="false">IF($B86="","",IFERROR(INDEX(Probes!$B$2:$B$14,MATCH($B86,Probes!$A$2:$A$14,0)),"?"))</f>
        <v/>
      </c>
      <c r="G86" s="10" t="str">
        <f aca="false">IF($B86="","",IFERROR(T(INDEX(Probes!$E$2:$E$14,MATCH($B86,Probes!$A$2:$A$14,0))),""))</f>
        <v/>
      </c>
    </row>
    <row r="87" customFormat="false" ht="15" hidden="false" customHeight="true" outlineLevel="0" collapsed="false">
      <c r="F87" s="10" t="str">
        <f aca="false">IF($B87="","",IFERROR(INDEX(Probes!$B$2:$B$14,MATCH($B87,Probes!$A$2:$A$14,0)),"?"))</f>
        <v/>
      </c>
      <c r="G87" s="10" t="str">
        <f aca="false">IF($B87="","",IFERROR(T(INDEX(Probes!$E$2:$E$14,MATCH($B87,Probes!$A$2:$A$14,0))),""))</f>
        <v/>
      </c>
    </row>
    <row r="88" customFormat="false" ht="15" hidden="false" customHeight="true" outlineLevel="0" collapsed="false">
      <c r="F88" s="10" t="str">
        <f aca="false">IF($B88="","",IFERROR(INDEX(Probes!$B$2:$B$14,MATCH($B88,Probes!$A$2:$A$14,0)),"?"))</f>
        <v/>
      </c>
      <c r="G88" s="10" t="str">
        <f aca="false">IF($B88="","",IFERROR(T(INDEX(Probes!$E$2:$E$14,MATCH($B88,Probes!$A$2:$A$14,0))),""))</f>
        <v/>
      </c>
    </row>
    <row r="89" customFormat="false" ht="15" hidden="false" customHeight="true" outlineLevel="0" collapsed="false">
      <c r="F89" s="10" t="str">
        <f aca="false">IF($B89="","",IFERROR(INDEX(Probes!$B$2:$B$14,MATCH($B89,Probes!$A$2:$A$14,0)),"?"))</f>
        <v/>
      </c>
      <c r="G89" s="10" t="str">
        <f aca="false">IF($B89="","",IFERROR(T(INDEX(Probes!$E$2:$E$14,MATCH($B89,Probes!$A$2:$A$14,0))),""))</f>
        <v/>
      </c>
    </row>
    <row r="90" customFormat="false" ht="15" hidden="false" customHeight="true" outlineLevel="0" collapsed="false">
      <c r="F90" s="10" t="str">
        <f aca="false">IF($B90="","",IFERROR(INDEX(Probes!$B$2:$B$14,MATCH($B90,Probes!$A$2:$A$14,0)),"?"))</f>
        <v/>
      </c>
      <c r="G90" s="10" t="str">
        <f aca="false">IF($B90="","",IFERROR(T(INDEX(Probes!$E$2:$E$14,MATCH($B90,Probes!$A$2:$A$14,0))),""))</f>
        <v/>
      </c>
    </row>
    <row r="91" customFormat="false" ht="15" hidden="false" customHeight="true" outlineLevel="0" collapsed="false">
      <c r="F91" s="10" t="str">
        <f aca="false">IF($B91="","",IFERROR(INDEX(Probes!$B$2:$B$14,MATCH($B91,Probes!$A$2:$A$14,0)),"?"))</f>
        <v/>
      </c>
      <c r="G91" s="10" t="str">
        <f aca="false">IF($B91="","",IFERROR(T(INDEX(Probes!$E$2:$E$14,MATCH($B91,Probes!$A$2:$A$14,0))),""))</f>
        <v/>
      </c>
    </row>
    <row r="92" customFormat="false" ht="15" hidden="false" customHeight="true" outlineLevel="0" collapsed="false">
      <c r="F92" s="10" t="str">
        <f aca="false">IF($B92="","",IFERROR(INDEX(Probes!$B$2:$B$14,MATCH($B92,Probes!$A$2:$A$14,0)),"?"))</f>
        <v/>
      </c>
      <c r="G92" s="10" t="str">
        <f aca="false">IF($B92="","",IFERROR(T(INDEX(Probes!$E$2:$E$14,MATCH($B92,Probes!$A$2:$A$14,0))),""))</f>
        <v/>
      </c>
    </row>
    <row r="93" customFormat="false" ht="15" hidden="false" customHeight="true" outlineLevel="0" collapsed="false">
      <c r="F93" s="10" t="str">
        <f aca="false">IF($B93="","",IFERROR(INDEX(Probes!$B$2:$B$14,MATCH($B93,Probes!$A$2:$A$14,0)),"?"))</f>
        <v/>
      </c>
      <c r="G93" s="10" t="str">
        <f aca="false">IF($B93="","",IFERROR(T(INDEX(Probes!$E$2:$E$14,MATCH($B93,Probes!$A$2:$A$14,0))),""))</f>
        <v/>
      </c>
    </row>
    <row r="94" customFormat="false" ht="15" hidden="false" customHeight="true" outlineLevel="0" collapsed="false">
      <c r="F94" s="10" t="str">
        <f aca="false">IF($B94="","",IFERROR(INDEX(Probes!$B$2:$B$14,MATCH($B94,Probes!$A$2:$A$14,0)),"?"))</f>
        <v/>
      </c>
      <c r="G94" s="10" t="str">
        <f aca="false">IF($B94="","",IFERROR(T(INDEX(Probes!$E$2:$E$14,MATCH($B94,Probes!$A$2:$A$14,0))),""))</f>
        <v/>
      </c>
    </row>
    <row r="95" customFormat="false" ht="15" hidden="false" customHeight="true" outlineLevel="0" collapsed="false">
      <c r="F95" s="10" t="str">
        <f aca="false">IF($B95="","",IFERROR(INDEX(Probes!$B$2:$B$14,MATCH($B95,Probes!$A$2:$A$14,0)),"?"))</f>
        <v/>
      </c>
      <c r="G95" s="10" t="str">
        <f aca="false">IF($B95="","",IFERROR(T(INDEX(Probes!$E$2:$E$14,MATCH($B95,Probes!$A$2:$A$14,0))),""))</f>
        <v/>
      </c>
    </row>
    <row r="96" customFormat="false" ht="15" hidden="false" customHeight="true" outlineLevel="0" collapsed="false">
      <c r="F96" s="10" t="str">
        <f aca="false">IF($B96="","",IFERROR(INDEX(Probes!$B$2:$B$14,MATCH($B96,Probes!$A$2:$A$14,0)),"?"))</f>
        <v/>
      </c>
      <c r="G96" s="10" t="str">
        <f aca="false">IF($B96="","",IFERROR(T(INDEX(Probes!$E$2:$E$14,MATCH($B96,Probes!$A$2:$A$14,0))),""))</f>
        <v/>
      </c>
    </row>
    <row r="97" customFormat="false" ht="15" hidden="false" customHeight="true" outlineLevel="0" collapsed="false">
      <c r="F97" s="10" t="str">
        <f aca="false">IF($B97="","",IFERROR(INDEX(Probes!$B$2:$B$14,MATCH($B97,Probes!$A$2:$A$14,0)),"?"))</f>
        <v/>
      </c>
      <c r="G97" s="10" t="str">
        <f aca="false">IF($B97="","",IFERROR(T(INDEX(Probes!$E$2:$E$14,MATCH($B97,Probes!$A$2:$A$14,0))),""))</f>
        <v/>
      </c>
    </row>
    <row r="98" customFormat="false" ht="15" hidden="false" customHeight="true" outlineLevel="0" collapsed="false">
      <c r="F98" s="10" t="str">
        <f aca="false">IF($B98="","",IFERROR(INDEX(Probes!$B$2:$B$14,MATCH($B98,Probes!$A$2:$A$14,0)),"?"))</f>
        <v/>
      </c>
      <c r="G98" s="10" t="str">
        <f aca="false">IF($B98="","",IFERROR(T(INDEX(Probes!$E$2:$E$14,MATCH($B98,Probes!$A$2:$A$14,0))),""))</f>
        <v/>
      </c>
    </row>
    <row r="99" customFormat="false" ht="15" hidden="false" customHeight="true" outlineLevel="0" collapsed="false">
      <c r="F99" s="10" t="str">
        <f aca="false">IF($B99="","",IFERROR(INDEX(Probes!$B$2:$B$14,MATCH($B99,Probes!$A$2:$A$14,0)),"?"))</f>
        <v/>
      </c>
      <c r="G99" s="10" t="str">
        <f aca="false">IF($B99="","",IFERROR(T(INDEX(Probes!$E$2:$E$14,MATCH($B99,Probes!$A$2:$A$14,0))),""))</f>
        <v/>
      </c>
    </row>
    <row r="100" customFormat="false" ht="15" hidden="false" customHeight="true" outlineLevel="0" collapsed="false">
      <c r="F100" s="10" t="str">
        <f aca="false">IF($B100="","",IFERROR(INDEX(Probes!$B$2:$B$14,MATCH($B100,Probes!$A$2:$A$14,0)),"?"))</f>
        <v/>
      </c>
      <c r="G100" s="10" t="str">
        <f aca="false">IF($B100="","",IFERROR(T(INDEX(Probes!$E$2:$E$14,MATCH($B100,Probes!$A$2:$A$14,0))),""))</f>
        <v/>
      </c>
    </row>
    <row r="101" customFormat="false" ht="15" hidden="false" customHeight="true" outlineLevel="0" collapsed="false">
      <c r="F101" s="10" t="str">
        <f aca="false">IF($B101="","",IFERROR(INDEX(Probes!$B$2:$B$14,MATCH($B101,Probes!$A$2:$A$14,0)),"?"))</f>
        <v/>
      </c>
      <c r="G101" s="10" t="str">
        <f aca="false">IF($B101="","",IFERROR(T(INDEX(Probes!$E$2:$E$14,MATCH($B101,Probes!$A$2:$A$14,0))),""))</f>
        <v/>
      </c>
    </row>
    <row r="102" customFormat="false" ht="15" hidden="false" customHeight="true" outlineLevel="0" collapsed="false">
      <c r="F102" s="10" t="str">
        <f aca="false">IF($B102="","",IFERROR(INDEX(Probes!$B$2:$B$14,MATCH($B102,Probes!$A$2:$A$14,0)),"?"))</f>
        <v/>
      </c>
      <c r="G102" s="10" t="str">
        <f aca="false">IF($B102="","",IFERROR(T(INDEX(Probes!$E$2:$E$14,MATCH($B102,Probes!$A$2:$A$14,0))),""))</f>
        <v/>
      </c>
    </row>
    <row r="103" customFormat="false" ht="15" hidden="false" customHeight="true" outlineLevel="0" collapsed="false">
      <c r="F103" s="10" t="str">
        <f aca="false">IF($B103="","",IFERROR(INDEX(Probes!$B$2:$B$14,MATCH($B103,Probes!$A$2:$A$14,0)),"?"))</f>
        <v/>
      </c>
      <c r="G103" s="10" t="str">
        <f aca="false">IF($B103="","",IFERROR(T(INDEX(Probes!$E$2:$E$14,MATCH($B103,Probes!$A$2:$A$14,0))),""))</f>
        <v/>
      </c>
    </row>
    <row r="104" customFormat="false" ht="15" hidden="false" customHeight="true" outlineLevel="0" collapsed="false">
      <c r="F104" s="10" t="str">
        <f aca="false">IF($B104="","",IFERROR(INDEX(Probes!$B$2:$B$14,MATCH($B104,Probes!$A$2:$A$14,0)),"?"))</f>
        <v/>
      </c>
      <c r="G104" s="10" t="str">
        <f aca="false">IF($B104="","",IFERROR(T(INDEX(Probes!$E$2:$E$14,MATCH($B104,Probes!$A$2:$A$14,0))),""))</f>
        <v/>
      </c>
    </row>
    <row r="105" customFormat="false" ht="15" hidden="false" customHeight="true" outlineLevel="0" collapsed="false">
      <c r="F105" s="10" t="str">
        <f aca="false">IF($B105="","",IFERROR(INDEX(Probes!$B$2:$B$14,MATCH($B105,Probes!$A$2:$A$14,0)),"?"))</f>
        <v/>
      </c>
      <c r="G105" s="10" t="str">
        <f aca="false">IF($B105="","",IFERROR(T(INDEX(Probes!$E$2:$E$14,MATCH($B105,Probes!$A$2:$A$14,0))),""))</f>
        <v/>
      </c>
    </row>
    <row r="106" customFormat="false" ht="15" hidden="false" customHeight="true" outlineLevel="0" collapsed="false">
      <c r="F106" s="10" t="str">
        <f aca="false">IF($B106="","",IFERROR(INDEX(Probes!$B$2:$B$14,MATCH($B106,Probes!$A$2:$A$14,0)),"?"))</f>
        <v/>
      </c>
      <c r="G106" s="10" t="str">
        <f aca="false">IF($B106="","",IFERROR(T(INDEX(Probes!$E$2:$E$14,MATCH($B106,Probes!$A$2:$A$14,0))),""))</f>
        <v/>
      </c>
    </row>
    <row r="107" customFormat="false" ht="15" hidden="false" customHeight="true" outlineLevel="0" collapsed="false">
      <c r="F107" s="10" t="str">
        <f aca="false">IF($B107="","",IFERROR(INDEX(Probes!$B$2:$B$14,MATCH($B107,Probes!$A$2:$A$14,0)),"?"))</f>
        <v/>
      </c>
      <c r="G107" s="10" t="str">
        <f aca="false">IF($B107="","",IFERROR(T(INDEX(Probes!$E$2:$E$14,MATCH($B107,Probes!$A$2:$A$14,0))),""))</f>
        <v/>
      </c>
    </row>
    <row r="108" customFormat="false" ht="15" hidden="false" customHeight="true" outlineLevel="0" collapsed="false">
      <c r="F108" s="10" t="str">
        <f aca="false">IF($B108="","",IFERROR(INDEX(Probes!$B$2:$B$14,MATCH($B108,Probes!$A$2:$A$14,0)),"?"))</f>
        <v/>
      </c>
      <c r="G108" s="10" t="str">
        <f aca="false">IF($B108="","",IFERROR(T(INDEX(Probes!$E$2:$E$14,MATCH($B108,Probes!$A$2:$A$14,0))),""))</f>
        <v/>
      </c>
    </row>
    <row r="109" customFormat="false" ht="15" hidden="false" customHeight="true" outlineLevel="0" collapsed="false">
      <c r="F109" s="10" t="str">
        <f aca="false">IF($B109="","",IFERROR(INDEX(Probes!$B$2:$B$14,MATCH($B109,Probes!$A$2:$A$14,0)),"?"))</f>
        <v/>
      </c>
      <c r="G109" s="10" t="str">
        <f aca="false">IF($B109="","",IFERROR(T(INDEX(Probes!$E$2:$E$14,MATCH($B109,Probes!$A$2:$A$14,0))),""))</f>
        <v/>
      </c>
    </row>
    <row r="110" customFormat="false" ht="15" hidden="false" customHeight="true" outlineLevel="0" collapsed="false">
      <c r="F110" s="10" t="str">
        <f aca="false">IF($B110="","",IFERROR(INDEX(Probes!$B$2:$B$14,MATCH($B110,Probes!$A$2:$A$14,0)),"?"))</f>
        <v/>
      </c>
      <c r="G110" s="10" t="str">
        <f aca="false">IF($B110="","",IFERROR(T(INDEX(Probes!$E$2:$E$14,MATCH($B110,Probes!$A$2:$A$14,0))),""))</f>
        <v/>
      </c>
    </row>
    <row r="111" customFormat="false" ht="15" hidden="false" customHeight="true" outlineLevel="0" collapsed="false">
      <c r="F111" s="10" t="str">
        <f aca="false">IF($B111="","",IFERROR(INDEX(Probes!$B$2:$B$14,MATCH($B111,Probes!$A$2:$A$14,0)),"?"))</f>
        <v/>
      </c>
      <c r="G111" s="10" t="str">
        <f aca="false">IF($B111="","",IFERROR(T(INDEX(Probes!$E$2:$E$14,MATCH($B111,Probes!$A$2:$A$14,0))),""))</f>
        <v/>
      </c>
    </row>
    <row r="112" customFormat="false" ht="15" hidden="false" customHeight="true" outlineLevel="0" collapsed="false">
      <c r="F112" s="10" t="str">
        <f aca="false">IF($B112="","",IFERROR(INDEX(Probes!$B$2:$B$14,MATCH($B112,Probes!$A$2:$A$14,0)),"?"))</f>
        <v/>
      </c>
      <c r="G112" s="10" t="str">
        <f aca="false">IF($B112="","",IFERROR(T(INDEX(Probes!$E$2:$E$14,MATCH($B112,Probes!$A$2:$A$14,0))),""))</f>
        <v/>
      </c>
    </row>
    <row r="113" customFormat="false" ht="15" hidden="false" customHeight="true" outlineLevel="0" collapsed="false">
      <c r="F113" s="10" t="str">
        <f aca="false">IF($B113="","",IFERROR(INDEX(Probes!$B$2:$B$14,MATCH($B113,Probes!$A$2:$A$14,0)),"?"))</f>
        <v/>
      </c>
      <c r="G113" s="10" t="str">
        <f aca="false">IF($B113="","",IFERROR(T(INDEX(Probes!$E$2:$E$14,MATCH($B113,Probes!$A$2:$A$14,0))),""))</f>
        <v/>
      </c>
    </row>
    <row r="114" customFormat="false" ht="15" hidden="false" customHeight="true" outlineLevel="0" collapsed="false">
      <c r="F114" s="10" t="str">
        <f aca="false">IF($B114="","",IFERROR(INDEX(Probes!$B$2:$B$14,MATCH($B114,Probes!$A$2:$A$14,0)),"?"))</f>
        <v/>
      </c>
      <c r="G114" s="10" t="str">
        <f aca="false">IF($B114="","",IFERROR(T(INDEX(Probes!$E$2:$E$14,MATCH($B114,Probes!$A$2:$A$14,0))),""))</f>
        <v/>
      </c>
    </row>
    <row r="115" customFormat="false" ht="15" hidden="false" customHeight="true" outlineLevel="0" collapsed="false">
      <c r="F115" s="10" t="str">
        <f aca="false">IF($B115="","",IFERROR(INDEX(Probes!$B$2:$B$14,MATCH($B115,Probes!$A$2:$A$14,0)),"?"))</f>
        <v/>
      </c>
      <c r="G115" s="10" t="str">
        <f aca="false">IF($B115="","",IFERROR(T(INDEX(Probes!$E$2:$E$14,MATCH($B115,Probes!$A$2:$A$14,0))),""))</f>
        <v/>
      </c>
    </row>
    <row r="116" customFormat="false" ht="15" hidden="false" customHeight="true" outlineLevel="0" collapsed="false">
      <c r="F116" s="10" t="str">
        <f aca="false">IF($B116="","",IFERROR(INDEX(Probes!$B$2:$B$14,MATCH($B116,Probes!$A$2:$A$14,0)),"?"))</f>
        <v/>
      </c>
      <c r="G116" s="10" t="str">
        <f aca="false">IF($B116="","",IFERROR(T(INDEX(Probes!$E$2:$E$14,MATCH($B116,Probes!$A$2:$A$14,0))),""))</f>
        <v/>
      </c>
    </row>
    <row r="117" customFormat="false" ht="15" hidden="false" customHeight="true" outlineLevel="0" collapsed="false">
      <c r="F117" s="10" t="str">
        <f aca="false">IF($B117="","",IFERROR(INDEX(Probes!$B$2:$B$14,MATCH($B117,Probes!$A$2:$A$14,0)),"?"))</f>
        <v/>
      </c>
      <c r="G117" s="10" t="str">
        <f aca="false">IF($B117="","",IFERROR(T(INDEX(Probes!$E$2:$E$14,MATCH($B117,Probes!$A$2:$A$14,0))),""))</f>
        <v/>
      </c>
    </row>
    <row r="118" customFormat="false" ht="15" hidden="false" customHeight="true" outlineLevel="0" collapsed="false">
      <c r="F118" s="10" t="str">
        <f aca="false">IF($B118="","",IFERROR(INDEX(Probes!$B$2:$B$14,MATCH($B118,Probes!$A$2:$A$14,0)),"?"))</f>
        <v/>
      </c>
      <c r="G118" s="10" t="str">
        <f aca="false">IF($B118="","",IFERROR(T(INDEX(Probes!$E$2:$E$14,MATCH($B118,Probes!$A$2:$A$14,0))),""))</f>
        <v/>
      </c>
    </row>
    <row r="119" customFormat="false" ht="15" hidden="false" customHeight="true" outlineLevel="0" collapsed="false">
      <c r="F119" s="10" t="str">
        <f aca="false">IF($B119="","",IFERROR(INDEX(Probes!$B$2:$B$14,MATCH($B119,Probes!$A$2:$A$14,0)),"?"))</f>
        <v/>
      </c>
      <c r="G119" s="10" t="str">
        <f aca="false">IF($B119="","",IFERROR(T(INDEX(Probes!$E$2:$E$14,MATCH($B119,Probes!$A$2:$A$14,0))),""))</f>
        <v/>
      </c>
    </row>
    <row r="120" customFormat="false" ht="15" hidden="false" customHeight="true" outlineLevel="0" collapsed="false">
      <c r="F120" s="10" t="str">
        <f aca="false">IF($B120="","",IFERROR(INDEX(Probes!$B$2:$B$14,MATCH($B120,Probes!$A$2:$A$14,0)),"?"))</f>
        <v/>
      </c>
      <c r="G120" s="10" t="str">
        <f aca="false">IF($B120="","",IFERROR(T(INDEX(Probes!$E$2:$E$14,MATCH($B120,Probes!$A$2:$A$14,0))),""))</f>
        <v/>
      </c>
    </row>
    <row r="121" customFormat="false" ht="15" hidden="false" customHeight="true" outlineLevel="0" collapsed="false">
      <c r="F121" s="10" t="str">
        <f aca="false">IF($B121="","",IFERROR(INDEX(Probes!$B$2:$B$14,MATCH($B121,Probes!$A$2:$A$14,0)),"?"))</f>
        <v/>
      </c>
      <c r="G121" s="10" t="str">
        <f aca="false">IF($B121="","",IFERROR(T(INDEX(Probes!$E$2:$E$14,MATCH($B121,Probes!$A$2:$A$14,0))),""))</f>
        <v/>
      </c>
    </row>
    <row r="122" customFormat="false" ht="15" hidden="false" customHeight="true" outlineLevel="0" collapsed="false">
      <c r="F122" s="10" t="str">
        <f aca="false">IF($B122="","",IFERROR(INDEX(Probes!$B$2:$B$14,MATCH($B122,Probes!$A$2:$A$14,0)),"?"))</f>
        <v/>
      </c>
      <c r="G122" s="10" t="str">
        <f aca="false">IF($B122="","",IFERROR(T(INDEX(Probes!$E$2:$E$14,MATCH($B122,Probes!$A$2:$A$14,0))),""))</f>
        <v/>
      </c>
    </row>
    <row r="123" customFormat="false" ht="15" hidden="false" customHeight="true" outlineLevel="0" collapsed="false">
      <c r="F123" s="10" t="str">
        <f aca="false">IF($B123="","",IFERROR(INDEX(Probes!$B$2:$B$14,MATCH($B123,Probes!$A$2:$A$14,0)),"?"))</f>
        <v/>
      </c>
      <c r="G123" s="10" t="str">
        <f aca="false">IF($B123="","",IFERROR(T(INDEX(Probes!$E$2:$E$14,MATCH($B123,Probes!$A$2:$A$14,0))),""))</f>
        <v/>
      </c>
    </row>
    <row r="124" customFormat="false" ht="15" hidden="false" customHeight="true" outlineLevel="0" collapsed="false">
      <c r="F124" s="10" t="str">
        <f aca="false">IF($B124="","",IFERROR(INDEX(Probes!$B$2:$B$14,MATCH($B124,Probes!$A$2:$A$14,0)),"?"))</f>
        <v/>
      </c>
      <c r="G124" s="10" t="str">
        <f aca="false">IF($B124="","",IFERROR(T(INDEX(Probes!$E$2:$E$14,MATCH($B124,Probes!$A$2:$A$14,0))),""))</f>
        <v/>
      </c>
    </row>
    <row r="125" customFormat="false" ht="15" hidden="false" customHeight="true" outlineLevel="0" collapsed="false">
      <c r="F125" s="10" t="str">
        <f aca="false">IF($B125="","",IFERROR(INDEX(Probes!$B$2:$B$14,MATCH($B125,Probes!$A$2:$A$14,0)),"?"))</f>
        <v/>
      </c>
      <c r="G125" s="10" t="str">
        <f aca="false">IF($B125="","",IFERROR(T(INDEX(Probes!$E$2:$E$14,MATCH($B125,Probes!$A$2:$A$14,0))),""))</f>
        <v/>
      </c>
    </row>
    <row r="126" customFormat="false" ht="15" hidden="false" customHeight="true" outlineLevel="0" collapsed="false">
      <c r="F126" s="10" t="str">
        <f aca="false">IF($B126="","",IFERROR(INDEX(Probes!$B$2:$B$14,MATCH($B126,Probes!$A$2:$A$14,0)),"?"))</f>
        <v/>
      </c>
      <c r="G126" s="10" t="str">
        <f aca="false">IF($B126="","",IFERROR(T(INDEX(Probes!$E$2:$E$14,MATCH($B126,Probes!$A$2:$A$14,0))),""))</f>
        <v/>
      </c>
    </row>
    <row r="127" customFormat="false" ht="15" hidden="false" customHeight="true" outlineLevel="0" collapsed="false">
      <c r="F127" s="10" t="str">
        <f aca="false">IF($B127="","",IFERROR(INDEX(Probes!$B$2:$B$14,MATCH($B127,Probes!$A$2:$A$14,0)),"?"))</f>
        <v/>
      </c>
      <c r="G127" s="10" t="str">
        <f aca="false">IF($B127="","",IFERROR(T(INDEX(Probes!$E$2:$E$14,MATCH($B127,Probes!$A$2:$A$14,0))),""))</f>
        <v/>
      </c>
    </row>
    <row r="128" customFormat="false" ht="15" hidden="false" customHeight="true" outlineLevel="0" collapsed="false">
      <c r="F128" s="10" t="str">
        <f aca="false">IF($B128="","",IFERROR(INDEX(Probes!$B$2:$B$14,MATCH($B128,Probes!$A$2:$A$14,0)),"?"))</f>
        <v/>
      </c>
      <c r="G128" s="10" t="str">
        <f aca="false">IF($B128="","",IFERROR(T(INDEX(Probes!$E$2:$E$14,MATCH($B128,Probes!$A$2:$A$14,0))),""))</f>
        <v/>
      </c>
    </row>
    <row r="129" customFormat="false" ht="15" hidden="false" customHeight="true" outlineLevel="0" collapsed="false">
      <c r="F129" s="10" t="str">
        <f aca="false">IF($B129="","",IFERROR(INDEX(Probes!$B$2:$B$14,MATCH($B129,Probes!$A$2:$A$14,0)),"?"))</f>
        <v/>
      </c>
      <c r="G129" s="10" t="str">
        <f aca="false">IF($B129="","",IFERROR(T(INDEX(Probes!$E$2:$E$14,MATCH($B129,Probes!$A$2:$A$14,0))),""))</f>
        <v/>
      </c>
    </row>
    <row r="130" customFormat="false" ht="15" hidden="false" customHeight="true" outlineLevel="0" collapsed="false">
      <c r="F130" s="10" t="str">
        <f aca="false">IF($B130="","",IFERROR(INDEX(Probes!$B$2:$B$14,MATCH($B130,Probes!$A$2:$A$14,0)),"?"))</f>
        <v/>
      </c>
      <c r="G130" s="10" t="str">
        <f aca="false">IF($B130="","",IFERROR(T(INDEX(Probes!$E$2:$E$14,MATCH($B130,Probes!$A$2:$A$14,0))),""))</f>
        <v/>
      </c>
    </row>
    <row r="131" customFormat="false" ht="15" hidden="false" customHeight="true" outlineLevel="0" collapsed="false">
      <c r="F131" s="10" t="str">
        <f aca="false">IF($B131="","",IFERROR(INDEX(Probes!$B$2:$B$14,MATCH($B131,Probes!$A$2:$A$14,0)),"?"))</f>
        <v/>
      </c>
      <c r="G131" s="10" t="str">
        <f aca="false">IF($B131="","",IFERROR(T(INDEX(Probes!$E$2:$E$14,MATCH($B131,Probes!$A$2:$A$14,0))),""))</f>
        <v/>
      </c>
    </row>
    <row r="132" customFormat="false" ht="15" hidden="false" customHeight="true" outlineLevel="0" collapsed="false">
      <c r="F132" s="10" t="str">
        <f aca="false">IF($B132="","",IFERROR(INDEX(Probes!$B$2:$B$14,MATCH($B132,Probes!$A$2:$A$14,0)),"?"))</f>
        <v/>
      </c>
      <c r="G132" s="10" t="str">
        <f aca="false">IF($B132="","",IFERROR(T(INDEX(Probes!$E$2:$E$14,MATCH($B132,Probes!$A$2:$A$14,0))),""))</f>
        <v/>
      </c>
    </row>
    <row r="133" customFormat="false" ht="15" hidden="false" customHeight="true" outlineLevel="0" collapsed="false">
      <c r="F133" s="10" t="str">
        <f aca="false">IF($B133="","",IFERROR(INDEX(Probes!$B$2:$B$14,MATCH($B133,Probes!$A$2:$A$14,0)),"?"))</f>
        <v/>
      </c>
      <c r="G133" s="10" t="str">
        <f aca="false">IF($B133="","",IFERROR(T(INDEX(Probes!$E$2:$E$14,MATCH($B133,Probes!$A$2:$A$14,0))),""))</f>
        <v/>
      </c>
    </row>
    <row r="134" customFormat="false" ht="15" hidden="false" customHeight="true" outlineLevel="0" collapsed="false">
      <c r="F134" s="10" t="str">
        <f aca="false">IF($B134="","",IFERROR(INDEX(Probes!$B$2:$B$14,MATCH($B134,Probes!$A$2:$A$14,0)),"?"))</f>
        <v/>
      </c>
      <c r="G134" s="10" t="str">
        <f aca="false">IF($B134="","",IFERROR(T(INDEX(Probes!$E$2:$E$14,MATCH($B134,Probes!$A$2:$A$14,0))),""))</f>
        <v/>
      </c>
    </row>
    <row r="135" customFormat="false" ht="15" hidden="false" customHeight="true" outlineLevel="0" collapsed="false">
      <c r="F135" s="10" t="str">
        <f aca="false">IF($B135="","",IFERROR(INDEX(Probes!$B$2:$B$14,MATCH($B135,Probes!$A$2:$A$14,0)),"?"))</f>
        <v/>
      </c>
      <c r="G135" s="10" t="str">
        <f aca="false">IF($B135="","",IFERROR(T(INDEX(Probes!$E$2:$E$14,MATCH($B135,Probes!$A$2:$A$14,0))),""))</f>
        <v/>
      </c>
    </row>
    <row r="136" customFormat="false" ht="15" hidden="false" customHeight="true" outlineLevel="0" collapsed="false">
      <c r="F136" s="10" t="str">
        <f aca="false">IF($B136="","",IFERROR(INDEX(Probes!$B$2:$B$14,MATCH($B136,Probes!$A$2:$A$14,0)),"?"))</f>
        <v/>
      </c>
      <c r="G136" s="10" t="str">
        <f aca="false">IF($B136="","",IFERROR(T(INDEX(Probes!$E$2:$E$14,MATCH($B136,Probes!$A$2:$A$14,0))),""))</f>
        <v/>
      </c>
    </row>
    <row r="137" customFormat="false" ht="15" hidden="false" customHeight="true" outlineLevel="0" collapsed="false">
      <c r="F137" s="10" t="str">
        <f aca="false">IF($B137="","",IFERROR(INDEX(Probes!$B$2:$B$14,MATCH($B137,Probes!$A$2:$A$14,0)),"?"))</f>
        <v/>
      </c>
      <c r="G137" s="10" t="str">
        <f aca="false">IF($B137="","",IFERROR(T(INDEX(Probes!$E$2:$E$14,MATCH($B137,Probes!$A$2:$A$14,0))),""))</f>
        <v/>
      </c>
    </row>
    <row r="138" customFormat="false" ht="15" hidden="false" customHeight="true" outlineLevel="0" collapsed="false">
      <c r="F138" s="10" t="str">
        <f aca="false">IF($B138="","",IFERROR(INDEX(Probes!$B$2:$B$14,MATCH($B138,Probes!$A$2:$A$14,0)),"?"))</f>
        <v/>
      </c>
      <c r="G138" s="10" t="str">
        <f aca="false">IF($B138="","",IFERROR(T(INDEX(Probes!$E$2:$E$14,MATCH($B138,Probes!$A$2:$A$14,0))),""))</f>
        <v/>
      </c>
    </row>
    <row r="139" customFormat="false" ht="15" hidden="false" customHeight="true" outlineLevel="0" collapsed="false">
      <c r="F139" s="10" t="str">
        <f aca="false">IF($B139="","",IFERROR(INDEX(Probes!$B$2:$B$14,MATCH($B139,Probes!$A$2:$A$14,0)),"?"))</f>
        <v/>
      </c>
      <c r="G139" s="10" t="str">
        <f aca="false">IF($B139="","",IFERROR(T(INDEX(Probes!$E$2:$E$14,MATCH($B139,Probes!$A$2:$A$14,0))),""))</f>
        <v/>
      </c>
    </row>
    <row r="140" customFormat="false" ht="15" hidden="false" customHeight="true" outlineLevel="0" collapsed="false">
      <c r="F140" s="10" t="str">
        <f aca="false">IF($B140="","",IFERROR(INDEX(Probes!$B$2:$B$14,MATCH($B140,Probes!$A$2:$A$14,0)),"?"))</f>
        <v/>
      </c>
      <c r="G140" s="10" t="str">
        <f aca="false">IF($B140="","",IFERROR(T(INDEX(Probes!$E$2:$E$14,MATCH($B140,Probes!$A$2:$A$14,0))),""))</f>
        <v/>
      </c>
    </row>
    <row r="141" customFormat="false" ht="15" hidden="false" customHeight="true" outlineLevel="0" collapsed="false">
      <c r="F141" s="10" t="str">
        <f aca="false">IF($B141="","",IFERROR(INDEX(Probes!$B$2:$B$14,MATCH($B141,Probes!$A$2:$A$14,0)),"?"))</f>
        <v/>
      </c>
      <c r="G141" s="10" t="str">
        <f aca="false">IF($B141="","",IFERROR(T(INDEX(Probes!$E$2:$E$14,MATCH($B141,Probes!$A$2:$A$14,0))),""))</f>
        <v/>
      </c>
    </row>
    <row r="142" customFormat="false" ht="15" hidden="false" customHeight="true" outlineLevel="0" collapsed="false">
      <c r="F142" s="10" t="str">
        <f aca="false">IF($B142="","",IFERROR(INDEX(Probes!$B$2:$B$14,MATCH($B142,Probes!$A$2:$A$14,0)),"?"))</f>
        <v/>
      </c>
      <c r="G142" s="10" t="str">
        <f aca="false">IF($B142="","",IFERROR(T(INDEX(Probes!$E$2:$E$14,MATCH($B142,Probes!$A$2:$A$14,0))),""))</f>
        <v/>
      </c>
    </row>
    <row r="143" customFormat="false" ht="15" hidden="false" customHeight="true" outlineLevel="0" collapsed="false">
      <c r="F143" s="10" t="str">
        <f aca="false">IF($B143="","",IFERROR(INDEX(Probes!$B$2:$B$14,MATCH($B143,Probes!$A$2:$A$14,0)),"?"))</f>
        <v/>
      </c>
      <c r="G143" s="10" t="str">
        <f aca="false">IF($B143="","",IFERROR(T(INDEX(Probes!$E$2:$E$14,MATCH($B143,Probes!$A$2:$A$14,0))),""))</f>
        <v/>
      </c>
    </row>
    <row r="144" customFormat="false" ht="15" hidden="false" customHeight="true" outlineLevel="0" collapsed="false">
      <c r="F144" s="10" t="str">
        <f aca="false">IF($B144="","",IFERROR(INDEX(Probes!$B$2:$B$14,MATCH($B144,Probes!$A$2:$A$14,0)),"?"))</f>
        <v/>
      </c>
      <c r="G144" s="10" t="str">
        <f aca="false">IF($B144="","",IFERROR(T(INDEX(Probes!$E$2:$E$14,MATCH($B144,Probes!$A$2:$A$14,0))),""))</f>
        <v/>
      </c>
    </row>
    <row r="145" customFormat="false" ht="15" hidden="false" customHeight="true" outlineLevel="0" collapsed="false">
      <c r="F145" s="10" t="str">
        <f aca="false">IF($B145="","",IFERROR(INDEX(Probes!$B$2:$B$14,MATCH($B145,Probes!$A$2:$A$14,0)),"?"))</f>
        <v/>
      </c>
      <c r="G145" s="10" t="str">
        <f aca="false">IF($B145="","",IFERROR(T(INDEX(Probes!$E$2:$E$14,MATCH($B145,Probes!$A$2:$A$14,0))),""))</f>
        <v/>
      </c>
    </row>
    <row r="146" customFormat="false" ht="15" hidden="false" customHeight="true" outlineLevel="0" collapsed="false">
      <c r="F146" s="10" t="str">
        <f aca="false">IF($B146="","",IFERROR(INDEX(Probes!$B$2:$B$14,MATCH($B146,Probes!$A$2:$A$14,0)),"?"))</f>
        <v/>
      </c>
      <c r="G146" s="10" t="str">
        <f aca="false">IF($B146="","",IFERROR(T(INDEX(Probes!$E$2:$E$14,MATCH($B146,Probes!$A$2:$A$14,0))),""))</f>
        <v/>
      </c>
    </row>
    <row r="147" customFormat="false" ht="15" hidden="false" customHeight="true" outlineLevel="0" collapsed="false">
      <c r="F147" s="10" t="str">
        <f aca="false">IF($B147="","",IFERROR(INDEX(Probes!$B$2:$B$14,MATCH($B147,Probes!$A$2:$A$14,0)),"?"))</f>
        <v/>
      </c>
      <c r="G147" s="10" t="str">
        <f aca="false">IF($B147="","",IFERROR(T(INDEX(Probes!$E$2:$E$14,MATCH($B147,Probes!$A$2:$A$14,0))),""))</f>
        <v/>
      </c>
    </row>
    <row r="148" customFormat="false" ht="15" hidden="false" customHeight="true" outlineLevel="0" collapsed="false">
      <c r="F148" s="10" t="str">
        <f aca="false">IF($B148="","",IFERROR(INDEX(Probes!$B$2:$B$14,MATCH($B148,Probes!$A$2:$A$14,0)),"?"))</f>
        <v/>
      </c>
      <c r="G148" s="10" t="str">
        <f aca="false">IF($B148="","",IFERROR(T(INDEX(Probes!$E$2:$E$14,MATCH($B148,Probes!$A$2:$A$14,0))),""))</f>
        <v/>
      </c>
    </row>
    <row r="149" customFormat="false" ht="15" hidden="false" customHeight="true" outlineLevel="0" collapsed="false">
      <c r="F149" s="10" t="str">
        <f aca="false">IF($B149="","",IFERROR(INDEX(Probes!$B$2:$B$14,MATCH($B149,Probes!$A$2:$A$14,0)),"?"))</f>
        <v/>
      </c>
      <c r="G149" s="10" t="str">
        <f aca="false">IF($B149="","",IFERROR(T(INDEX(Probes!$E$2:$E$14,MATCH($B149,Probes!$A$2:$A$14,0))),""))</f>
        <v/>
      </c>
    </row>
    <row r="150" customFormat="false" ht="15" hidden="false" customHeight="true" outlineLevel="0" collapsed="false">
      <c r="F150" s="10" t="str">
        <f aca="false">IF($B150="","",IFERROR(INDEX(Probes!$B$2:$B$14,MATCH($B150,Probes!$A$2:$A$14,0)),"?"))</f>
        <v/>
      </c>
      <c r="G150" s="10" t="str">
        <f aca="false">IF($B150="","",IFERROR(T(INDEX(Probes!$E$2:$E$14,MATCH($B150,Probes!$A$2:$A$14,0))),""))</f>
        <v/>
      </c>
    </row>
    <row r="151" customFormat="false" ht="15" hidden="false" customHeight="true" outlineLevel="0" collapsed="false">
      <c r="F151" s="10" t="str">
        <f aca="false">IF($B151="","",IFERROR(INDEX(Probes!$B$2:$B$14,MATCH($B151,Probes!$A$2:$A$14,0)),"?"))</f>
        <v/>
      </c>
      <c r="G151" s="10" t="str">
        <f aca="false">IF($B151="","",IFERROR(T(INDEX(Probes!$E$2:$E$14,MATCH($B151,Probes!$A$2:$A$14,0))),""))</f>
        <v/>
      </c>
    </row>
    <row r="152" customFormat="false" ht="15" hidden="false" customHeight="true" outlineLevel="0" collapsed="false">
      <c r="F152" s="10" t="str">
        <f aca="false">IF($B152="","",IFERROR(INDEX(Probes!$B$2:$B$14,MATCH($B152,Probes!$A$2:$A$14,0)),"?"))</f>
        <v/>
      </c>
      <c r="G152" s="10" t="str">
        <f aca="false">IF($B152="","",IFERROR(T(INDEX(Probes!$E$2:$E$14,MATCH($B152,Probes!$A$2:$A$14,0))),""))</f>
        <v/>
      </c>
    </row>
    <row r="153" customFormat="false" ht="15" hidden="false" customHeight="true" outlineLevel="0" collapsed="false">
      <c r="F153" s="10" t="str">
        <f aca="false">IF($B153="","",IFERROR(INDEX(Probes!$B$2:$B$14,MATCH($B153,Probes!$A$2:$A$14,0)),"?"))</f>
        <v/>
      </c>
      <c r="G153" s="10" t="str">
        <f aca="false">IF($B153="","",IFERROR(T(INDEX(Probes!$E$2:$E$14,MATCH($B153,Probes!$A$2:$A$14,0))),""))</f>
        <v/>
      </c>
    </row>
    <row r="154" customFormat="false" ht="15" hidden="false" customHeight="true" outlineLevel="0" collapsed="false">
      <c r="F154" s="10" t="str">
        <f aca="false">IF($B154="","",IFERROR(INDEX(Probes!$B$2:$B$14,MATCH($B154,Probes!$A$2:$A$14,0)),"?"))</f>
        <v/>
      </c>
      <c r="G154" s="10" t="str">
        <f aca="false">IF($B154="","",IFERROR(T(INDEX(Probes!$E$2:$E$14,MATCH($B154,Probes!$A$2:$A$14,0))),""))</f>
        <v/>
      </c>
    </row>
    <row r="155" customFormat="false" ht="15" hidden="false" customHeight="true" outlineLevel="0" collapsed="false">
      <c r="F155" s="10" t="str">
        <f aca="false">IF($B155="","",IFERROR(INDEX(Probes!$B$2:$B$14,MATCH($B155,Probes!$A$2:$A$14,0)),"?"))</f>
        <v/>
      </c>
      <c r="G155" s="10" t="str">
        <f aca="false">IF($B155="","",IFERROR(T(INDEX(Probes!$E$2:$E$14,MATCH($B155,Probes!$A$2:$A$14,0))),""))</f>
        <v/>
      </c>
    </row>
    <row r="156" customFormat="false" ht="15" hidden="false" customHeight="true" outlineLevel="0" collapsed="false">
      <c r="F156" s="10" t="str">
        <f aca="false">IF($B156="","",IFERROR(INDEX(Probes!$B$2:$B$14,MATCH($B156,Probes!$A$2:$A$14,0)),"?"))</f>
        <v/>
      </c>
      <c r="G156" s="10" t="str">
        <f aca="false">IF($B156="","",IFERROR(T(INDEX(Probes!$E$2:$E$14,MATCH($B156,Probes!$A$2:$A$14,0))),""))</f>
        <v/>
      </c>
    </row>
    <row r="157" customFormat="false" ht="15" hidden="false" customHeight="true" outlineLevel="0" collapsed="false">
      <c r="F157" s="10" t="str">
        <f aca="false">IF($B157="","",IFERROR(INDEX(Probes!$B$2:$B$14,MATCH($B157,Probes!$A$2:$A$14,0)),"?"))</f>
        <v/>
      </c>
      <c r="G157" s="10" t="str">
        <f aca="false">IF($B157="","",IFERROR(T(INDEX(Probes!$E$2:$E$14,MATCH($B157,Probes!$A$2:$A$14,0))),""))</f>
        <v/>
      </c>
    </row>
    <row r="158" customFormat="false" ht="15" hidden="false" customHeight="true" outlineLevel="0" collapsed="false">
      <c r="F158" s="10" t="str">
        <f aca="false">IF($B158="","",IFERROR(INDEX(Probes!$B$2:$B$14,MATCH($B158,Probes!$A$2:$A$14,0)),"?"))</f>
        <v/>
      </c>
      <c r="G158" s="10" t="str">
        <f aca="false">IF($B158="","",IFERROR(T(INDEX(Probes!$E$2:$E$14,MATCH($B158,Probes!$A$2:$A$14,0))),""))</f>
        <v/>
      </c>
    </row>
    <row r="159" customFormat="false" ht="15" hidden="false" customHeight="true" outlineLevel="0" collapsed="false">
      <c r="F159" s="10" t="str">
        <f aca="false">IF($B159="","",IFERROR(INDEX(Probes!$B$2:$B$14,MATCH($B159,Probes!$A$2:$A$14,0)),"?"))</f>
        <v/>
      </c>
      <c r="G159" s="10" t="str">
        <f aca="false">IF($B159="","",IFERROR(T(INDEX(Probes!$E$2:$E$14,MATCH($B159,Probes!$A$2:$A$14,0))),""))</f>
        <v/>
      </c>
    </row>
    <row r="160" customFormat="false" ht="15" hidden="false" customHeight="true" outlineLevel="0" collapsed="false">
      <c r="F160" s="10" t="str">
        <f aca="false">IF($B160="","",IFERROR(INDEX(Probes!$B$2:$B$14,MATCH($B160,Probes!$A$2:$A$14,0)),"?"))</f>
        <v/>
      </c>
      <c r="G160" s="10" t="str">
        <f aca="false">IF($B160="","",IFERROR(T(INDEX(Probes!$E$2:$E$14,MATCH($B160,Probes!$A$2:$A$14,0))),""))</f>
        <v/>
      </c>
    </row>
    <row r="161" customFormat="false" ht="15" hidden="false" customHeight="true" outlineLevel="0" collapsed="false">
      <c r="F161" s="10" t="str">
        <f aca="false">IF($B161="","",IFERROR(INDEX(Probes!$B$2:$B$14,MATCH($B161,Probes!$A$2:$A$14,0)),"?"))</f>
        <v/>
      </c>
      <c r="G161" s="10" t="str">
        <f aca="false">IF($B161="","",IFERROR(T(INDEX(Probes!$E$2:$E$14,MATCH($B161,Probes!$A$2:$A$14,0))),""))</f>
        <v/>
      </c>
    </row>
    <row r="162" customFormat="false" ht="15" hidden="false" customHeight="true" outlineLevel="0" collapsed="false">
      <c r="F162" s="10" t="str">
        <f aca="false">IF($B162="","",IFERROR(INDEX(Probes!$B$2:$B$14,MATCH($B162,Probes!$A$2:$A$14,0)),"?"))</f>
        <v/>
      </c>
      <c r="G162" s="10" t="str">
        <f aca="false">IF($B162="","",IFERROR(T(INDEX(Probes!$E$2:$E$14,MATCH($B162,Probes!$A$2:$A$14,0))),""))</f>
        <v/>
      </c>
    </row>
    <row r="163" customFormat="false" ht="15" hidden="false" customHeight="true" outlineLevel="0" collapsed="false">
      <c r="F163" s="10" t="str">
        <f aca="false">IF($B163="","",IFERROR(INDEX(Probes!$B$2:$B$14,MATCH($B163,Probes!$A$2:$A$14,0)),"?"))</f>
        <v/>
      </c>
      <c r="G163" s="10" t="str">
        <f aca="false">IF($B163="","",IFERROR(T(INDEX(Probes!$E$2:$E$14,MATCH($B163,Probes!$A$2:$A$14,0))),""))</f>
        <v/>
      </c>
    </row>
    <row r="164" customFormat="false" ht="15" hidden="false" customHeight="true" outlineLevel="0" collapsed="false">
      <c r="F164" s="10" t="str">
        <f aca="false">IF($B164="","",IFERROR(INDEX(Probes!$B$2:$B$14,MATCH($B164,Probes!$A$2:$A$14,0)),"?"))</f>
        <v/>
      </c>
      <c r="G164" s="10" t="str">
        <f aca="false">IF($B164="","",IFERROR(T(INDEX(Probes!$E$2:$E$14,MATCH($B164,Probes!$A$2:$A$14,0))),""))</f>
        <v/>
      </c>
    </row>
    <row r="165" customFormat="false" ht="15" hidden="false" customHeight="true" outlineLevel="0" collapsed="false">
      <c r="F165" s="10" t="str">
        <f aca="false">IF($B165="","",IFERROR(INDEX(Probes!$B$2:$B$14,MATCH($B165,Probes!$A$2:$A$14,0)),"?"))</f>
        <v/>
      </c>
      <c r="G165" s="10" t="str">
        <f aca="false">IF($B165="","",IFERROR(T(INDEX(Probes!$E$2:$E$14,MATCH($B165,Probes!$A$2:$A$14,0))),""))</f>
        <v/>
      </c>
    </row>
    <row r="166" customFormat="false" ht="15" hidden="false" customHeight="true" outlineLevel="0" collapsed="false">
      <c r="F166" s="10" t="str">
        <f aca="false">IF($B166="","",IFERROR(INDEX(Probes!$B$2:$B$14,MATCH($B166,Probes!$A$2:$A$14,0)),"?"))</f>
        <v/>
      </c>
      <c r="G166" s="10" t="str">
        <f aca="false">IF($B166="","",IFERROR(T(INDEX(Probes!$E$2:$E$14,MATCH($B166,Probes!$A$2:$A$14,0))),""))</f>
        <v/>
      </c>
    </row>
    <row r="167" customFormat="false" ht="15" hidden="false" customHeight="true" outlineLevel="0" collapsed="false">
      <c r="F167" s="10" t="str">
        <f aca="false">IF($B167="","",IFERROR(INDEX(Probes!$B$2:$B$14,MATCH($B167,Probes!$A$2:$A$14,0)),"?"))</f>
        <v/>
      </c>
      <c r="G167" s="10" t="str">
        <f aca="false">IF($B167="","",IFERROR(T(INDEX(Probes!$E$2:$E$14,MATCH($B167,Probes!$A$2:$A$14,0))),""))</f>
        <v/>
      </c>
    </row>
    <row r="168" customFormat="false" ht="15" hidden="false" customHeight="true" outlineLevel="0" collapsed="false">
      <c r="F168" s="10" t="str">
        <f aca="false">IF($B168="","",IFERROR(INDEX(Probes!$B$2:$B$14,MATCH($B168,Probes!$A$2:$A$14,0)),"?"))</f>
        <v/>
      </c>
      <c r="G168" s="10" t="str">
        <f aca="false">IF($B168="","",IFERROR(T(INDEX(Probes!$E$2:$E$14,MATCH($B168,Probes!$A$2:$A$14,0))),""))</f>
        <v/>
      </c>
    </row>
    <row r="169" customFormat="false" ht="15" hidden="false" customHeight="true" outlineLevel="0" collapsed="false">
      <c r="F169" s="10" t="str">
        <f aca="false">IF($B169="","",IFERROR(INDEX(Probes!$B$2:$B$14,MATCH($B169,Probes!$A$2:$A$14,0)),"?"))</f>
        <v/>
      </c>
      <c r="G169" s="10" t="str">
        <f aca="false">IF($B169="","",IFERROR(T(INDEX(Probes!$E$2:$E$14,MATCH($B169,Probes!$A$2:$A$14,0))),""))</f>
        <v/>
      </c>
    </row>
    <row r="170" customFormat="false" ht="15" hidden="false" customHeight="true" outlineLevel="0" collapsed="false">
      <c r="F170" s="10" t="str">
        <f aca="false">IF($B170="","",IFERROR(INDEX(Probes!$B$2:$B$14,MATCH($B170,Probes!$A$2:$A$14,0)),"?"))</f>
        <v/>
      </c>
      <c r="G170" s="10" t="str">
        <f aca="false">IF($B170="","",IFERROR(T(INDEX(Probes!$E$2:$E$14,MATCH($B170,Probes!$A$2:$A$14,0))),""))</f>
        <v/>
      </c>
    </row>
    <row r="171" customFormat="false" ht="15" hidden="false" customHeight="true" outlineLevel="0" collapsed="false">
      <c r="F171" s="10" t="str">
        <f aca="false">IF($B171="","",IFERROR(INDEX(Probes!$B$2:$B$14,MATCH($B171,Probes!$A$2:$A$14,0)),"?"))</f>
        <v/>
      </c>
      <c r="G171" s="10" t="str">
        <f aca="false">IF($B171="","",IFERROR(T(INDEX(Probes!$E$2:$E$14,MATCH($B171,Probes!$A$2:$A$14,0))),""))</f>
        <v/>
      </c>
    </row>
    <row r="172" customFormat="false" ht="15" hidden="false" customHeight="true" outlineLevel="0" collapsed="false">
      <c r="F172" s="10" t="str">
        <f aca="false">IF($B172="","",IFERROR(INDEX(Probes!$B$2:$B$14,MATCH($B172,Probes!$A$2:$A$14,0)),"?"))</f>
        <v/>
      </c>
      <c r="G172" s="10" t="str">
        <f aca="false">IF($B172="","",IFERROR(T(INDEX(Probes!$E$2:$E$14,MATCH($B172,Probes!$A$2:$A$14,0))),""))</f>
        <v/>
      </c>
    </row>
    <row r="173" customFormat="false" ht="15" hidden="false" customHeight="true" outlineLevel="0" collapsed="false">
      <c r="F173" s="10" t="str">
        <f aca="false">IF($B173="","",IFERROR(INDEX(Probes!$B$2:$B$14,MATCH($B173,Probes!$A$2:$A$14,0)),"?"))</f>
        <v/>
      </c>
      <c r="G173" s="10" t="str">
        <f aca="false">IF($B173="","",IFERROR(T(INDEX(Probes!$E$2:$E$14,MATCH($B173,Probes!$A$2:$A$14,0))),""))</f>
        <v/>
      </c>
    </row>
    <row r="174" customFormat="false" ht="15" hidden="false" customHeight="true" outlineLevel="0" collapsed="false">
      <c r="F174" s="10" t="str">
        <f aca="false">IF($B174="","",IFERROR(INDEX(Probes!$B$2:$B$14,MATCH($B174,Probes!$A$2:$A$14,0)),"?"))</f>
        <v/>
      </c>
      <c r="G174" s="10" t="str">
        <f aca="false">IF($B174="","",IFERROR(T(INDEX(Probes!$E$2:$E$14,MATCH($B174,Probes!$A$2:$A$14,0))),""))</f>
        <v/>
      </c>
    </row>
    <row r="175" customFormat="false" ht="15" hidden="false" customHeight="true" outlineLevel="0" collapsed="false">
      <c r="F175" s="10" t="str">
        <f aca="false">IF($B175="","",IFERROR(INDEX(Probes!$B$2:$B$14,MATCH($B175,Probes!$A$2:$A$14,0)),"?"))</f>
        <v/>
      </c>
      <c r="G175" s="10" t="str">
        <f aca="false">IF($B175="","",IFERROR(T(INDEX(Probes!$E$2:$E$14,MATCH($B175,Probes!$A$2:$A$14,0))),""))</f>
        <v/>
      </c>
    </row>
    <row r="176" customFormat="false" ht="15" hidden="false" customHeight="true" outlineLevel="0" collapsed="false">
      <c r="F176" s="10" t="str">
        <f aca="false">IF($B176="","",IFERROR(INDEX(Probes!$B$2:$B$14,MATCH($B176,Probes!$A$2:$A$14,0)),"?"))</f>
        <v/>
      </c>
      <c r="G176" s="10" t="str">
        <f aca="false">IF($B176="","",IFERROR(T(INDEX(Probes!$E$2:$E$14,MATCH($B176,Probes!$A$2:$A$14,0))),""))</f>
        <v/>
      </c>
    </row>
    <row r="177" customFormat="false" ht="15" hidden="false" customHeight="true" outlineLevel="0" collapsed="false">
      <c r="F177" s="10" t="str">
        <f aca="false">IF($B177="","",IFERROR(INDEX(Probes!$B$2:$B$14,MATCH($B177,Probes!$A$2:$A$14,0)),"?"))</f>
        <v/>
      </c>
      <c r="G177" s="10" t="str">
        <f aca="false">IF($B177="","",IFERROR(T(INDEX(Probes!$E$2:$E$14,MATCH($B177,Probes!$A$2:$A$14,0))),""))</f>
        <v/>
      </c>
    </row>
    <row r="178" customFormat="false" ht="15" hidden="false" customHeight="true" outlineLevel="0" collapsed="false">
      <c r="F178" s="10" t="str">
        <f aca="false">IF($B178="","",IFERROR(INDEX(Probes!$B$2:$B$14,MATCH($B178,Probes!$A$2:$A$14,0)),"?"))</f>
        <v/>
      </c>
      <c r="G178" s="10" t="str">
        <f aca="false">IF($B178="","",IFERROR(T(INDEX(Probes!$E$2:$E$14,MATCH($B178,Probes!$A$2:$A$14,0))),""))</f>
        <v/>
      </c>
    </row>
    <row r="179" customFormat="false" ht="15" hidden="false" customHeight="true" outlineLevel="0" collapsed="false">
      <c r="F179" s="10" t="str">
        <f aca="false">IF($B179="","",IFERROR(INDEX(Probes!$B$2:$B$14,MATCH($B179,Probes!$A$2:$A$14,0)),"?"))</f>
        <v/>
      </c>
      <c r="G179" s="10" t="str">
        <f aca="false">IF($B179="","",IFERROR(T(INDEX(Probes!$E$2:$E$14,MATCH($B179,Probes!$A$2:$A$14,0))),""))</f>
        <v/>
      </c>
    </row>
    <row r="180" customFormat="false" ht="15" hidden="false" customHeight="true" outlineLevel="0" collapsed="false">
      <c r="F180" s="10" t="str">
        <f aca="false">IF($B180="","",IFERROR(INDEX(Probes!$B$2:$B$14,MATCH($B180,Probes!$A$2:$A$14,0)),"?"))</f>
        <v/>
      </c>
      <c r="G180" s="10" t="str">
        <f aca="false">IF($B180="","",IFERROR(T(INDEX(Probes!$E$2:$E$14,MATCH($B180,Probes!$A$2:$A$14,0))),""))</f>
        <v/>
      </c>
    </row>
    <row r="181" customFormat="false" ht="15" hidden="false" customHeight="true" outlineLevel="0" collapsed="false">
      <c r="F181" s="10" t="str">
        <f aca="false">IF($B181="","",IFERROR(INDEX(Probes!$B$2:$B$14,MATCH($B181,Probes!$A$2:$A$14,0)),"?"))</f>
        <v/>
      </c>
      <c r="G181" s="10" t="str">
        <f aca="false">IF($B181="","",IFERROR(T(INDEX(Probes!$E$2:$E$14,MATCH($B181,Probes!$A$2:$A$14,0))),""))</f>
        <v/>
      </c>
    </row>
    <row r="182" customFormat="false" ht="15" hidden="false" customHeight="true" outlineLevel="0" collapsed="false">
      <c r="F182" s="10" t="str">
        <f aca="false">IF($B182="","",IFERROR(INDEX(Probes!$B$2:$B$14,MATCH($B182,Probes!$A$2:$A$14,0)),"?"))</f>
        <v/>
      </c>
      <c r="G182" s="10" t="str">
        <f aca="false">IF($B182="","",IFERROR(T(INDEX(Probes!$E$2:$E$14,MATCH($B182,Probes!$A$2:$A$14,0))),""))</f>
        <v/>
      </c>
    </row>
    <row r="183" customFormat="false" ht="15" hidden="false" customHeight="true" outlineLevel="0" collapsed="false">
      <c r="F183" s="10" t="str">
        <f aca="false">IF($B183="","",IFERROR(INDEX(Probes!$B$2:$B$14,MATCH($B183,Probes!$A$2:$A$14,0)),"?"))</f>
        <v/>
      </c>
      <c r="G183" s="10" t="str">
        <f aca="false">IF($B183="","",IFERROR(T(INDEX(Probes!$E$2:$E$14,MATCH($B183,Probes!$A$2:$A$14,0))),""))</f>
        <v/>
      </c>
    </row>
    <row r="184" customFormat="false" ht="15" hidden="false" customHeight="true" outlineLevel="0" collapsed="false">
      <c r="F184" s="10" t="str">
        <f aca="false">IF($B184="","",IFERROR(INDEX(Probes!$B$2:$B$14,MATCH($B184,Probes!$A$2:$A$14,0)),"?"))</f>
        <v/>
      </c>
      <c r="G184" s="10" t="str">
        <f aca="false">IF($B184="","",IFERROR(T(INDEX(Probes!$E$2:$E$14,MATCH($B184,Probes!$A$2:$A$14,0))),""))</f>
        <v/>
      </c>
    </row>
    <row r="185" customFormat="false" ht="15" hidden="false" customHeight="true" outlineLevel="0" collapsed="false">
      <c r="F185" s="10" t="str">
        <f aca="false">IF($B185="","",IFERROR(INDEX(Probes!$B$2:$B$14,MATCH($B185,Probes!$A$2:$A$14,0)),"?"))</f>
        <v/>
      </c>
      <c r="G185" s="10" t="str">
        <f aca="false">IF($B185="","",IFERROR(T(INDEX(Probes!$E$2:$E$14,MATCH($B185,Probes!$A$2:$A$14,0))),""))</f>
        <v/>
      </c>
    </row>
    <row r="186" customFormat="false" ht="15" hidden="false" customHeight="true" outlineLevel="0" collapsed="false">
      <c r="F186" s="10" t="str">
        <f aca="false">IF($B186="","",IFERROR(INDEX(Probes!$B$2:$B$14,MATCH($B186,Probes!$A$2:$A$14,0)),"?"))</f>
        <v/>
      </c>
      <c r="G186" s="10" t="str">
        <f aca="false">IF($B186="","",IFERROR(T(INDEX(Probes!$E$2:$E$14,MATCH($B186,Probes!$A$2:$A$14,0))),""))</f>
        <v/>
      </c>
    </row>
    <row r="187" customFormat="false" ht="15" hidden="false" customHeight="true" outlineLevel="0" collapsed="false">
      <c r="F187" s="10" t="str">
        <f aca="false">IF($B187="","",IFERROR(INDEX(Probes!$B$2:$B$14,MATCH($B187,Probes!$A$2:$A$14,0)),"?"))</f>
        <v/>
      </c>
      <c r="G187" s="10" t="str">
        <f aca="false">IF($B187="","",IFERROR(T(INDEX(Probes!$E$2:$E$14,MATCH($B187,Probes!$A$2:$A$14,0))),""))</f>
        <v/>
      </c>
    </row>
    <row r="188" customFormat="false" ht="15" hidden="false" customHeight="true" outlineLevel="0" collapsed="false">
      <c r="F188" s="10" t="str">
        <f aca="false">IF($B188="","",IFERROR(INDEX(Probes!$B$2:$B$14,MATCH($B188,Probes!$A$2:$A$14,0)),"?"))</f>
        <v/>
      </c>
      <c r="G188" s="10" t="str">
        <f aca="false">IF($B188="","",IFERROR(T(INDEX(Probes!$E$2:$E$14,MATCH($B188,Probes!$A$2:$A$14,0))),""))</f>
        <v/>
      </c>
    </row>
    <row r="189" customFormat="false" ht="15" hidden="false" customHeight="true" outlineLevel="0" collapsed="false">
      <c r="F189" s="10" t="str">
        <f aca="false">IF($B189="","",IFERROR(INDEX(Probes!$B$2:$B$14,MATCH($B189,Probes!$A$2:$A$14,0)),"?"))</f>
        <v/>
      </c>
      <c r="G189" s="10" t="str">
        <f aca="false">IF($B189="","",IFERROR(T(INDEX(Probes!$E$2:$E$14,MATCH($B189,Probes!$A$2:$A$14,0))),""))</f>
        <v/>
      </c>
    </row>
    <row r="190" customFormat="false" ht="15" hidden="false" customHeight="true" outlineLevel="0" collapsed="false">
      <c r="F190" s="10" t="str">
        <f aca="false">IF($B190="","",IFERROR(INDEX(Probes!$B$2:$B$14,MATCH($B190,Probes!$A$2:$A$14,0)),"?"))</f>
        <v/>
      </c>
      <c r="G190" s="10" t="str">
        <f aca="false">IF($B190="","",IFERROR(T(INDEX(Probes!$E$2:$E$14,MATCH($B190,Probes!$A$2:$A$14,0))),""))</f>
        <v/>
      </c>
    </row>
    <row r="191" customFormat="false" ht="15" hidden="false" customHeight="true" outlineLevel="0" collapsed="false">
      <c r="F191" s="10" t="str">
        <f aca="false">IF($B191="","",IFERROR(INDEX(Probes!$B$2:$B$14,MATCH($B191,Probes!$A$2:$A$14,0)),"?"))</f>
        <v/>
      </c>
      <c r="G191" s="10" t="str">
        <f aca="false">IF($B191="","",IFERROR(T(INDEX(Probes!$E$2:$E$14,MATCH($B191,Probes!$A$2:$A$14,0))),""))</f>
        <v/>
      </c>
    </row>
    <row r="192" customFormat="false" ht="15" hidden="false" customHeight="true" outlineLevel="0" collapsed="false">
      <c r="F192" s="10" t="str">
        <f aca="false">IF($B192="","",IFERROR(INDEX(Probes!$B$2:$B$14,MATCH($B192,Probes!$A$2:$A$14,0)),"?"))</f>
        <v/>
      </c>
      <c r="G192" s="10" t="str">
        <f aca="false">IF($B192="","",IFERROR(T(INDEX(Probes!$E$2:$E$14,MATCH($B192,Probes!$A$2:$A$14,0))),""))</f>
        <v/>
      </c>
    </row>
    <row r="193" customFormat="false" ht="15" hidden="false" customHeight="true" outlineLevel="0" collapsed="false">
      <c r="F193" s="10" t="str">
        <f aca="false">IF($B193="","",IFERROR(INDEX(Probes!$B$2:$B$14,MATCH($B193,Probes!$A$2:$A$14,0)),"?"))</f>
        <v/>
      </c>
      <c r="G193" s="10" t="str">
        <f aca="false">IF($B193="","",IFERROR(T(INDEX(Probes!$E$2:$E$14,MATCH($B193,Probes!$A$2:$A$14,0))),""))</f>
        <v/>
      </c>
    </row>
    <row r="194" customFormat="false" ht="15" hidden="false" customHeight="true" outlineLevel="0" collapsed="false">
      <c r="F194" s="10" t="str">
        <f aca="false">IF($B194="","",IFERROR(INDEX(Probes!$B$2:$B$14,MATCH($B194,Probes!$A$2:$A$14,0)),"?"))</f>
        <v/>
      </c>
      <c r="G194" s="10" t="str">
        <f aca="false">IF($B194="","",IFERROR(T(INDEX(Probes!$E$2:$E$14,MATCH($B194,Probes!$A$2:$A$14,0))),""))</f>
        <v/>
      </c>
    </row>
    <row r="195" customFormat="false" ht="15" hidden="false" customHeight="true" outlineLevel="0" collapsed="false">
      <c r="F195" s="10" t="str">
        <f aca="false">IF($B195="","",IFERROR(INDEX(Probes!$B$2:$B$14,MATCH($B195,Probes!$A$2:$A$14,0)),"?"))</f>
        <v/>
      </c>
      <c r="G195" s="10" t="str">
        <f aca="false">IF($B195="","",IFERROR(T(INDEX(Probes!$E$2:$E$14,MATCH($B195,Probes!$A$2:$A$14,0))),""))</f>
        <v/>
      </c>
    </row>
    <row r="196" customFormat="false" ht="15" hidden="false" customHeight="true" outlineLevel="0" collapsed="false">
      <c r="F196" s="10" t="str">
        <f aca="false">IF($B196="","",IFERROR(INDEX(Probes!$B$2:$B$14,MATCH($B196,Probes!$A$2:$A$14,0)),"?"))</f>
        <v/>
      </c>
      <c r="G196" s="10" t="str">
        <f aca="false">IF($B196="","",IFERROR(T(INDEX(Probes!$E$2:$E$14,MATCH($B196,Probes!$A$2:$A$14,0))),""))</f>
        <v/>
      </c>
    </row>
    <row r="197" customFormat="false" ht="15" hidden="false" customHeight="true" outlineLevel="0" collapsed="false">
      <c r="F197" s="10" t="str">
        <f aca="false">IF($B197="","",IFERROR(INDEX(Probes!$B$2:$B$14,MATCH($B197,Probes!$A$2:$A$14,0)),"?"))</f>
        <v/>
      </c>
      <c r="G197" s="10" t="str">
        <f aca="false">IF($B197="","",IFERROR(T(INDEX(Probes!$E$2:$E$14,MATCH($B197,Probes!$A$2:$A$14,0))),""))</f>
        <v/>
      </c>
    </row>
    <row r="198" customFormat="false" ht="15" hidden="false" customHeight="true" outlineLevel="0" collapsed="false">
      <c r="F198" s="10" t="str">
        <f aca="false">IF($B198="","",IFERROR(INDEX(Probes!$B$2:$B$14,MATCH($B198,Probes!$A$2:$A$14,0)),"?"))</f>
        <v/>
      </c>
      <c r="G198" s="10" t="str">
        <f aca="false">IF($B198="","",IFERROR(T(INDEX(Probes!$E$2:$E$14,MATCH($B198,Probes!$A$2:$A$14,0))),""))</f>
        <v/>
      </c>
    </row>
    <row r="199" customFormat="false" ht="15" hidden="false" customHeight="true" outlineLevel="0" collapsed="false">
      <c r="F199" s="10" t="str">
        <f aca="false">IF($B199="","",IFERROR(INDEX(Probes!$B$2:$B$14,MATCH($B199,Probes!$A$2:$A$14,0)),"?"))</f>
        <v/>
      </c>
      <c r="G199" s="10" t="str">
        <f aca="false">IF($B199="","",IFERROR(T(INDEX(Probes!$E$2:$E$14,MATCH($B199,Probes!$A$2:$A$14,0))),""))</f>
        <v/>
      </c>
    </row>
    <row r="200" customFormat="false" ht="15" hidden="false" customHeight="true" outlineLevel="0" collapsed="false">
      <c r="F200" s="10" t="str">
        <f aca="false">IF($B200="","",IFERROR(INDEX(Probes!$B$2:$B$14,MATCH($B200,Probes!$A$2:$A$14,0)),"?"))</f>
        <v/>
      </c>
      <c r="G200" s="10" t="str">
        <f aca="false">IF($B200="","",IFERROR(T(INDEX(Probes!$E$2:$E$14,MATCH($B200,Probes!$A$2:$A$14,0))),""))</f>
        <v/>
      </c>
    </row>
  </sheetData>
  <dataValidations count="3">
    <dataValidation allowBlank="true" errorStyle="stop" operator="between" showDropDown="false" showErrorMessage="false" showInputMessage="false" sqref="A2:A500" type="list">
      <formula1>RunIDs</formula1>
      <formula2>0</formula2>
    </dataValidation>
    <dataValidation allowBlank="true" errorStyle="stop" operator="between" showDropDown="false" showErrorMessage="false" showInputMessage="false" sqref="B2:B500" type="list">
      <formula1>ProbeIDs</formula1>
      <formula2>0</formula2>
    </dataValidation>
    <dataValidation allowBlank="true" errorStyle="stop" operator="between" showDropDown="false" showErrorMessage="false" showInputMessage="false" sqref="D2:D500" type="list">
      <formula1>"0,0.5,1"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3"/>
    <col collapsed="false" customWidth="true" hidden="false" outlineLevel="0" max="3" min="3" style="1" width="10"/>
    <col collapsed="false" customWidth="true" hidden="false" outlineLevel="0" max="4" min="4" style="1" width="8"/>
    <col collapsed="false" customWidth="true" hidden="false" outlineLevel="0" max="5" min="5" style="1" width="62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0"/>
  </cols>
  <sheetData>
    <row r="1" customFormat="false" ht="15" hidden="false" customHeight="true" outlineLevel="0" collapsed="false">
      <c r="A1" s="6" t="s">
        <v>164</v>
      </c>
      <c r="B1" s="6" t="s">
        <v>19</v>
      </c>
      <c r="C1" s="6" t="s">
        <v>36</v>
      </c>
      <c r="D1" s="6" t="s">
        <v>165</v>
      </c>
      <c r="E1" s="6" t="s">
        <v>166</v>
      </c>
      <c r="F1" s="6" t="s">
        <v>167</v>
      </c>
      <c r="G1" s="6" t="s">
        <v>168</v>
      </c>
      <c r="H1" s="6" t="s">
        <v>169</v>
      </c>
    </row>
    <row r="2" customFormat="false" ht="23.25" hidden="false" customHeight="true" outlineLevel="0" collapsed="false">
      <c r="A2" s="7" t="s">
        <v>170</v>
      </c>
      <c r="B2" s="7" t="s">
        <v>29</v>
      </c>
      <c r="C2" s="7" t="s">
        <v>46</v>
      </c>
      <c r="D2" s="7" t="s">
        <v>171</v>
      </c>
      <c r="E2" s="4" t="s">
        <v>172</v>
      </c>
      <c r="F2" s="7" t="s">
        <v>173</v>
      </c>
      <c r="G2" s="7"/>
      <c r="H2" s="7" t="s">
        <v>174</v>
      </c>
    </row>
  </sheetData>
  <conditionalFormatting sqref="F2:F300">
    <cfRule type="expression" priority="2" aboveAverage="0" equalAverage="0" bottom="0" percent="0" rank="0" text="" dxfId="0">
      <formula>$F2="Blocker"</formula>
    </cfRule>
    <cfRule type="expression" priority="3" aboveAverage="0" equalAverage="0" bottom="0" percent="0" rank="0" text="" dxfId="1">
      <formula>$F2="Major"</formula>
    </cfRule>
  </conditionalFormatting>
  <dataValidations count="4">
    <dataValidation allowBlank="true" errorStyle="stop" operator="between" showDropDown="false" showErrorMessage="false" showInputMessage="false" sqref="B2:B300" type="list">
      <formula1>RunIDs</formula1>
      <formula2>0</formula2>
    </dataValidation>
    <dataValidation allowBlank="true" errorStyle="stop" operator="between" showDropDown="false" showErrorMessage="false" showInputMessage="false" sqref="C2:C300" type="list">
      <formula1>ScriptIDs</formula1>
      <formula2>0</formula2>
    </dataValidation>
    <dataValidation allowBlank="true" errorStyle="stop" operator="between" showDropDown="false" showErrorMessage="false" showInputMessage="false" sqref="F2:F300" type="list">
      <formula1>"Blocker,Major,Minor"</formula1>
      <formula2>0</formula2>
    </dataValidation>
    <dataValidation allowBlank="true" errorStyle="stop" operator="between" showDropDown="false" showErrorMessage="false" showInputMessage="false" sqref="H2:H300" type="list">
      <formula1>"open,fixed,retest,wontfix"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40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2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9" min="9" style="1" width="9"/>
  </cols>
  <sheetData>
    <row r="1" customFormat="false" ht="15" hidden="false" customHeight="true" outlineLevel="0" collapsed="false">
      <c r="A1" s="11" t="s">
        <v>175</v>
      </c>
      <c r="B1" s="12" t="s">
        <v>29</v>
      </c>
    </row>
    <row r="2" customFormat="false" ht="15" hidden="false" customHeight="true" outlineLevel="0" collapsed="false">
      <c r="A2" s="13" t="s">
        <v>176</v>
      </c>
      <c r="B2" s="10" t="str">
        <f aca="false">IFERROR(INDEX(Runs!$E$2:$E$40,MATCH($B$1,Runs!$A$2:$A$40,0)),"")</f>
        <v>pilot</v>
      </c>
      <c r="C2" s="13" t="s">
        <v>177</v>
      </c>
      <c r="D2" s="10" t="str">
        <f aca="false">IFERROR(INDEX(Runs!$F$2:$F$40,MATCH($B$1,Runs!$A$2:$A$40,0)),"")</f>
        <v>no</v>
      </c>
      <c r="E2" s="13" t="s">
        <v>178</v>
      </c>
      <c r="F2" s="10" t="str">
        <f aca="false">IFERROR(INDEX(Runs!$G$2:$G$40,MATCH($B$1,Runs!$A$2:$A$40,0)),"")</f>
        <v>no</v>
      </c>
      <c r="G2" s="13" t="s">
        <v>179</v>
      </c>
      <c r="H2" s="10" t="str">
        <f aca="false">IFERROR(INDEX(Runs!$H$2:$H$40,MATCH($B$1,Runs!$A$2:$A$40,0)),"")</f>
        <v>no</v>
      </c>
      <c r="I2" s="13" t="s">
        <v>180</v>
      </c>
      <c r="J2" s="10" t="str">
        <f aca="false">IFERROR(INDEX(Runs!$I$2:$I$40,MATCH($B$1,Runs!$A$2:$A$40,0)),"")</f>
        <v>no</v>
      </c>
    </row>
    <row r="4" customFormat="false" ht="23.25" hidden="false" customHeight="true" outlineLevel="0" collapsed="false">
      <c r="A4" s="6" t="s">
        <v>36</v>
      </c>
      <c r="B4" s="6" t="s">
        <v>37</v>
      </c>
      <c r="C4" s="6" t="s">
        <v>38</v>
      </c>
      <c r="D4" s="6" t="s">
        <v>181</v>
      </c>
      <c r="E4" s="6" t="s">
        <v>182</v>
      </c>
      <c r="F4" s="6" t="s">
        <v>183</v>
      </c>
      <c r="G4" s="6" t="s">
        <v>184</v>
      </c>
      <c r="H4" s="6" t="s">
        <v>185</v>
      </c>
      <c r="I4" s="6" t="s">
        <v>44</v>
      </c>
    </row>
    <row r="5" customFormat="false" ht="15" hidden="false" customHeight="true" outlineLevel="0" collapsed="false">
      <c r="A5" s="10" t="str">
        <f aca="false">Scripts!A2</f>
        <v>S-01</v>
      </c>
      <c r="B5" s="10" t="str">
        <f aca="false">Scripts!B2</f>
        <v>Supplier</v>
      </c>
      <c r="C5" s="7" t="str">
        <f aca="false">Scripts!C2</f>
        <v>Invitation receipt and orientation</v>
      </c>
      <c r="D5" s="10" t="str">
        <f aca="false">IF($B$1="","—",IF(AND(OR(Scripts!G2&lt;&gt;"Y",$D$2="yes"),OR(Scripts!H2&lt;&gt;"Y",$H$2="yes")),"runnable","GATED"))</f>
        <v>runnable</v>
      </c>
      <c r="E5" s="10" t="n">
        <f aca="false">IF($B$1="","",COUNTIFS(Executions!$B$2:$B$500,$B$1,Executions!$C$2:$C$500,$A5))</f>
        <v>1</v>
      </c>
      <c r="F5" s="10" t="str">
        <f aca="false">IF($B$1="","",IF($E5=0,"pending",IF(COUNTIFS(Executions!$B$2:$B$500,$B$1,Executions!$C$2:$C$500,$A5,Executions!$F$2:$F$500,"U")&gt;0,"U",IF(COUNTIFS(Executions!$B$2:$B$500,$B$1,Executions!$C$2:$C$500,$A5,Executions!$F$2:$F$500,"A")&gt;0,"A","F"))))</f>
        <v>U</v>
      </c>
      <c r="G5" s="14" t="n">
        <f aca="false">IF(OR($B$1="",$E5=0),"",IFERROR(AVERAGEIFS(Executions!$I$2:$I$500,Executions!$B$2:$B$500,$B$1,Executions!$C$2:$C$500,$A5),"—"))</f>
        <v>6</v>
      </c>
      <c r="H5" s="15" t="n">
        <f aca="false">IF($B$1="","",IFERROR(AVERAGEIFS(ProbeResults!$D$2:$D$500,ProbeResults!$A$2:$A$500,$B$1,ProbeResults!$F$2:$F$500,$A5),"—"))</f>
        <v>0.75</v>
      </c>
      <c r="I5" s="10" t="str">
        <f aca="false">IF(Scripts!I2="Y","HAZARD","")</f>
        <v/>
      </c>
    </row>
    <row r="6" customFormat="false" ht="15" hidden="false" customHeight="true" outlineLevel="0" collapsed="false">
      <c r="A6" s="10" t="str">
        <f aca="false">Scripts!A3</f>
        <v>S-02</v>
      </c>
      <c r="B6" s="10" t="str">
        <f aca="false">Scripts!B3</f>
        <v>Supplier</v>
      </c>
      <c r="C6" s="7" t="str">
        <f aca="false">Scripts!C3</f>
        <v>Template comprehension and data entry</v>
      </c>
      <c r="D6" s="10" t="str">
        <f aca="false">IF($B$1="","—",IF(AND(OR(Scripts!G3&lt;&gt;"Y",$D$2="yes"),OR(Scripts!H3&lt;&gt;"Y",$H$2="yes")),"runnable","GATED"))</f>
        <v>runnable</v>
      </c>
      <c r="E6" s="10" t="n">
        <f aca="false">IF($B$1="","",COUNTIFS(Executions!$B$2:$B$500,$B$1,Executions!$C$2:$C$500,$A6))</f>
        <v>0</v>
      </c>
      <c r="F6" s="10" t="str">
        <f aca="false">IF($B$1="","",IF($E6=0,"pending",IF(COUNTIFS(Executions!$B$2:$B$500,$B$1,Executions!$C$2:$C$500,$A6,Executions!$F$2:$F$500,"U")&gt;0,"U",IF(COUNTIFS(Executions!$B$2:$B$500,$B$1,Executions!$C$2:$C$500,$A6,Executions!$F$2:$F$500,"A")&gt;0,"A","F"))))</f>
        <v>pending</v>
      </c>
      <c r="G6" s="14" t="str">
        <f aca="false">IF(OR($B$1="",$E6=0),"",IFERROR(AVERAGEIFS(Executions!$I$2:$I$500,Executions!$B$2:$B$500,$B$1,Executions!$C$2:$C$500,$A6),"—"))</f>
        <v/>
      </c>
      <c r="H6" s="15" t="str">
        <f aca="false">IF($B$1="","",IFERROR(AVERAGEIFS(ProbeResults!$D$2:$D$500,ProbeResults!$A$2:$A$500,$B$1,ProbeResults!$F$2:$F$500,$A6),"—"))</f>
        <v>—</v>
      </c>
      <c r="I6" s="10" t="str">
        <f aca="false">IF(Scripts!I3="Y","HAZARD","")</f>
        <v/>
      </c>
    </row>
    <row r="7" customFormat="false" ht="15" hidden="false" customHeight="true" outlineLevel="0" collapsed="false">
      <c r="A7" s="10" t="str">
        <f aca="false">Scripts!A4</f>
        <v>S-03</v>
      </c>
      <c r="B7" s="10" t="str">
        <f aca="false">Scripts!B4</f>
        <v>Supplier</v>
      </c>
      <c r="C7" s="7" t="str">
        <f aca="false">Scripts!C4</f>
        <v>First submission (clean file)</v>
      </c>
      <c r="D7" s="10" t="str">
        <f aca="false">IF($B$1="","—",IF(AND(OR(Scripts!G4&lt;&gt;"Y",$D$2="yes"),OR(Scripts!H4&lt;&gt;"Y",$H$2="yes")),"runnable","GATED"))</f>
        <v>runnable</v>
      </c>
      <c r="E7" s="10" t="n">
        <f aca="false">IF($B$1="","",COUNTIFS(Executions!$B$2:$B$500,$B$1,Executions!$C$2:$C$500,$A7))</f>
        <v>0</v>
      </c>
      <c r="F7" s="10" t="str">
        <f aca="false">IF($B$1="","",IF($E7=0,"pending",IF(COUNTIFS(Executions!$B$2:$B$500,$B$1,Executions!$C$2:$C$500,$A7,Executions!$F$2:$F$500,"U")&gt;0,"U",IF(COUNTIFS(Executions!$B$2:$B$500,$B$1,Executions!$C$2:$C$500,$A7,Executions!$F$2:$F$500,"A")&gt;0,"A","F"))))</f>
        <v>pending</v>
      </c>
      <c r="G7" s="14" t="str">
        <f aca="false">IF(OR($B$1="",$E7=0),"",IFERROR(AVERAGEIFS(Executions!$I$2:$I$500,Executions!$B$2:$B$500,$B$1,Executions!$C$2:$C$500,$A7),"—"))</f>
        <v/>
      </c>
      <c r="H7" s="15" t="str">
        <f aca="false">IF($B$1="","",IFERROR(AVERAGEIFS(ProbeResults!$D$2:$D$500,ProbeResults!$A$2:$A$500,$B$1,ProbeResults!$F$2:$F$500,$A7),"—"))</f>
        <v>—</v>
      </c>
      <c r="I7" s="10" t="str">
        <f aca="false">IF(Scripts!I4="Y","HAZARD","")</f>
        <v/>
      </c>
    </row>
    <row r="8" customFormat="false" ht="15" hidden="false" customHeight="true" outlineLevel="0" collapsed="false">
      <c r="A8" s="10" t="str">
        <f aca="false">Scripts!A5</f>
        <v>S-04</v>
      </c>
      <c r="B8" s="10" t="str">
        <f aca="false">Scripts!B5</f>
        <v>Supplier</v>
      </c>
      <c r="C8" s="7" t="str">
        <f aca="false">Scripts!C5</f>
        <v>Status comprehension and information exposure</v>
      </c>
      <c r="D8" s="10" t="str">
        <f aca="false">IF($B$1="","—",IF(AND(OR(Scripts!G5&lt;&gt;"Y",$D$2="yes"),OR(Scripts!H5&lt;&gt;"Y",$H$2="yes")),"runnable","GATED"))</f>
        <v>runnable</v>
      </c>
      <c r="E8" s="10" t="n">
        <f aca="false">IF($B$1="","",COUNTIFS(Executions!$B$2:$B$500,$B$1,Executions!$C$2:$C$500,$A8))</f>
        <v>0</v>
      </c>
      <c r="F8" s="10" t="str">
        <f aca="false">IF($B$1="","",IF($E8=0,"pending",IF(COUNTIFS(Executions!$B$2:$B$500,$B$1,Executions!$C$2:$C$500,$A8,Executions!$F$2:$F$500,"U")&gt;0,"U",IF(COUNTIFS(Executions!$B$2:$B$500,$B$1,Executions!$C$2:$C$500,$A8,Executions!$F$2:$F$500,"A")&gt;0,"A","F"))))</f>
        <v>pending</v>
      </c>
      <c r="G8" s="14" t="str">
        <f aca="false">IF(OR($B$1="",$E8=0),"",IFERROR(AVERAGEIFS(Executions!$I$2:$I$500,Executions!$B$2:$B$500,$B$1,Executions!$C$2:$C$500,$A8),"—"))</f>
        <v/>
      </c>
      <c r="H8" s="15" t="str">
        <f aca="false">IF($B$1="","",IFERROR(AVERAGEIFS(ProbeResults!$D$2:$D$500,ProbeResults!$A$2:$A$500,$B$1,ProbeResults!$F$2:$F$500,$A8),"—"))</f>
        <v>—</v>
      </c>
      <c r="I8" s="10" t="str">
        <f aca="false">IF(Scripts!I5="Y","HAZARD","")</f>
        <v/>
      </c>
    </row>
    <row r="9" customFormat="false" ht="15" hidden="false" customHeight="true" outlineLevel="0" collapsed="false">
      <c r="A9" s="10" t="str">
        <f aca="false">Scripts!A6</f>
        <v>S-05</v>
      </c>
      <c r="B9" s="10" t="str">
        <f aca="false">Scripts!B6</f>
        <v>Supplier</v>
      </c>
      <c r="C9" s="7" t="str">
        <f aca="false">Scripts!C6</f>
        <v>Rework loop (analyst-initiated)</v>
      </c>
      <c r="D9" s="10" t="str">
        <f aca="false">IF($B$1="","—",IF(AND(OR(Scripts!G6&lt;&gt;"Y",$D$2="yes"),OR(Scripts!H6&lt;&gt;"Y",$H$2="yes")),"runnable","GATED"))</f>
        <v>runnable</v>
      </c>
      <c r="E9" s="10" t="n">
        <f aca="false">IF($B$1="","",COUNTIFS(Executions!$B$2:$B$500,$B$1,Executions!$C$2:$C$500,$A9))</f>
        <v>0</v>
      </c>
      <c r="F9" s="10" t="str">
        <f aca="false">IF($B$1="","",IF($E9=0,"pending",IF(COUNTIFS(Executions!$B$2:$B$500,$B$1,Executions!$C$2:$C$500,$A9,Executions!$F$2:$F$500,"U")&gt;0,"U",IF(COUNTIFS(Executions!$B$2:$B$500,$B$1,Executions!$C$2:$C$500,$A9,Executions!$F$2:$F$500,"A")&gt;0,"A","F"))))</f>
        <v>pending</v>
      </c>
      <c r="G9" s="14" t="str">
        <f aca="false">IF(OR($B$1="",$E9=0),"",IFERROR(AVERAGEIFS(Executions!$I$2:$I$500,Executions!$B$2:$B$500,$B$1,Executions!$C$2:$C$500,$A9),"—"))</f>
        <v/>
      </c>
      <c r="H9" s="15" t="str">
        <f aca="false">IF($B$1="","",IFERROR(AVERAGEIFS(ProbeResults!$D$2:$D$500,ProbeResults!$A$2:$A$500,$B$1,ProbeResults!$F$2:$F$500,$A9),"—"))</f>
        <v>—</v>
      </c>
      <c r="I9" s="10" t="str">
        <f aca="false">IF(Scripts!I6="Y","HAZARD","")</f>
        <v/>
      </c>
    </row>
    <row r="10" customFormat="false" ht="15" hidden="false" customHeight="true" outlineLevel="0" collapsed="false">
      <c r="A10" s="10" t="str">
        <f aca="false">Scripts!A7</f>
        <v>S-06</v>
      </c>
      <c r="B10" s="10" t="str">
        <f aca="false">Scripts!B7</f>
        <v>Supplier</v>
      </c>
      <c r="C10" s="7" t="str">
        <f aca="false">Scripts!C7</f>
        <v>Still-failing resubmission from rework</v>
      </c>
      <c r="D10" s="10" t="str">
        <f aca="false">IF($B$1="","—",IF(AND(OR(Scripts!G7&lt;&gt;"Y",$D$2="yes"),OR(Scripts!H7&lt;&gt;"Y",$H$2="yes")),"runnable","GATED"))</f>
        <v>GATED</v>
      </c>
      <c r="E10" s="10" t="n">
        <f aca="false">IF($B$1="","",COUNTIFS(Executions!$B$2:$B$500,$B$1,Executions!$C$2:$C$500,$A10))</f>
        <v>0</v>
      </c>
      <c r="F10" s="10" t="str">
        <f aca="false">IF($B$1="","",IF($E10=0,"pending",IF(COUNTIFS(Executions!$B$2:$B$500,$B$1,Executions!$C$2:$C$500,$A10,Executions!$F$2:$F$500,"U")&gt;0,"U",IF(COUNTIFS(Executions!$B$2:$B$500,$B$1,Executions!$C$2:$C$500,$A10,Executions!$F$2:$F$500,"A")&gt;0,"A","F"))))</f>
        <v>pending</v>
      </c>
      <c r="G10" s="14" t="str">
        <f aca="false">IF(OR($B$1="",$E10=0),"",IFERROR(AVERAGEIFS(Executions!$I$2:$I$500,Executions!$B$2:$B$500,$B$1,Executions!$C$2:$C$500,$A10),"—"))</f>
        <v/>
      </c>
      <c r="H10" s="15" t="str">
        <f aca="false">IF($B$1="","",IFERROR(AVERAGEIFS(ProbeResults!$D$2:$D$500,ProbeResults!$A$2:$A$500,$B$1,ProbeResults!$F$2:$F$500,$A10),"—"))</f>
        <v>—</v>
      </c>
      <c r="I10" s="10" t="str">
        <f aca="false">IF(Scripts!I7="Y","HAZARD","")</f>
        <v>HAZARD</v>
      </c>
    </row>
    <row r="11" customFormat="false" ht="15" hidden="false" customHeight="true" outlineLevel="0" collapsed="false">
      <c r="A11" s="10" t="str">
        <f aca="false">Scripts!A8</f>
        <v>S-07</v>
      </c>
      <c r="B11" s="10" t="str">
        <f aca="false">Scripts!B8</f>
        <v>Supplier</v>
      </c>
      <c r="C11" s="7" t="str">
        <f aca="false">Scripts!C8</f>
        <v>Approval and terminal comprehension</v>
      </c>
      <c r="D11" s="10" t="str">
        <f aca="false">IF($B$1="","—",IF(AND(OR(Scripts!G8&lt;&gt;"Y",$D$2="yes"),OR(Scripts!H8&lt;&gt;"Y",$H$2="yes")),"runnable","GATED"))</f>
        <v>runnable</v>
      </c>
      <c r="E11" s="10" t="n">
        <f aca="false">IF($B$1="","",COUNTIFS(Executions!$B$2:$B$500,$B$1,Executions!$C$2:$C$500,$A11))</f>
        <v>0</v>
      </c>
      <c r="F11" s="10" t="str">
        <f aca="false">IF($B$1="","",IF($E11=0,"pending",IF(COUNTIFS(Executions!$B$2:$B$500,$B$1,Executions!$C$2:$C$500,$A11,Executions!$F$2:$F$500,"U")&gt;0,"U",IF(COUNTIFS(Executions!$B$2:$B$500,$B$1,Executions!$C$2:$C$500,$A11,Executions!$F$2:$F$500,"A")&gt;0,"A","F"))))</f>
        <v>pending</v>
      </c>
      <c r="G11" s="14" t="str">
        <f aca="false">IF(OR($B$1="",$E11=0),"",IFERROR(AVERAGEIFS(Executions!$I$2:$I$500,Executions!$B$2:$B$500,$B$1,Executions!$C$2:$C$500,$A11),"—"))</f>
        <v/>
      </c>
      <c r="H11" s="15" t="str">
        <f aca="false">IF($B$1="","",IFERROR(AVERAGEIFS(ProbeResults!$D$2:$D$500,ProbeResults!$A$2:$A$500,$B$1,ProbeResults!$F$2:$F$500,$A11),"—"))</f>
        <v>—</v>
      </c>
      <c r="I11" s="10" t="str">
        <f aca="false">IF(Scripts!I8="Y","HAZARD","")</f>
        <v/>
      </c>
    </row>
    <row r="12" customFormat="false" ht="15" hidden="false" customHeight="true" outlineLevel="0" collapsed="false">
      <c r="A12" s="10" t="str">
        <f aca="false">Scripts!A9</f>
        <v>S-08</v>
      </c>
      <c r="B12" s="10" t="str">
        <f aca="false">Scripts!B9</f>
        <v>Supplier</v>
      </c>
      <c r="C12" s="7" t="str">
        <f aca="false">Scripts!C9</f>
        <v>Bad-file submission (structural path)</v>
      </c>
      <c r="D12" s="10" t="str">
        <f aca="false">IF($B$1="","—",IF(AND(OR(Scripts!G9&lt;&gt;"Y",$D$2="yes"),OR(Scripts!H9&lt;&gt;"Y",$H$2="yes")),"runnable","GATED"))</f>
        <v>runnable</v>
      </c>
      <c r="E12" s="10" t="n">
        <f aca="false">IF($B$1="","",COUNTIFS(Executions!$B$2:$B$500,$B$1,Executions!$C$2:$C$500,$A12))</f>
        <v>0</v>
      </c>
      <c r="F12" s="10" t="str">
        <f aca="false">IF($B$1="","",IF($E12=0,"pending",IF(COUNTIFS(Executions!$B$2:$B$500,$B$1,Executions!$C$2:$C$500,$A12,Executions!$F$2:$F$500,"U")&gt;0,"U",IF(COUNTIFS(Executions!$B$2:$B$500,$B$1,Executions!$C$2:$C$500,$A12,Executions!$F$2:$F$500,"A")&gt;0,"A","F"))))</f>
        <v>pending</v>
      </c>
      <c r="G12" s="14" t="str">
        <f aca="false">IF(OR($B$1="",$E12=0),"",IFERROR(AVERAGEIFS(Executions!$I$2:$I$500,Executions!$B$2:$B$500,$B$1,Executions!$C$2:$C$500,$A12),"—"))</f>
        <v/>
      </c>
      <c r="H12" s="15" t="str">
        <f aca="false">IF($B$1="","",IFERROR(AVERAGEIFS(ProbeResults!$D$2:$D$500,ProbeResults!$A$2:$A$500,$B$1,ProbeResults!$F$2:$F$500,$A12),"—"))</f>
        <v>—</v>
      </c>
      <c r="I12" s="10" t="str">
        <f aca="false">IF(Scripts!I9="Y","HAZARD","")</f>
        <v/>
      </c>
    </row>
    <row r="13" customFormat="false" ht="15" hidden="false" customHeight="true" outlineLevel="0" collapsed="false">
      <c r="A13" s="10" t="str">
        <f aca="false">Scripts!A10</f>
        <v>S-09</v>
      </c>
      <c r="B13" s="10" t="str">
        <f aca="false">Scripts!B10</f>
        <v>Supplier</v>
      </c>
      <c r="C13" s="7" t="str">
        <f aca="false">Scripts!C10</f>
        <v>Expired template link (known-gap probe)</v>
      </c>
      <c r="D13" s="10" t="str">
        <f aca="false">IF($B$1="","—",IF(AND(OR(Scripts!G10&lt;&gt;"Y",$D$2="yes"),OR(Scripts!H10&lt;&gt;"Y",$H$2="yes")),"runnable","GATED"))</f>
        <v>runnable</v>
      </c>
      <c r="E13" s="10" t="n">
        <f aca="false">IF($B$1="","",COUNTIFS(Executions!$B$2:$B$500,$B$1,Executions!$C$2:$C$500,$A13))</f>
        <v>0</v>
      </c>
      <c r="F13" s="10" t="str">
        <f aca="false">IF($B$1="","",IF($E13=0,"pending",IF(COUNTIFS(Executions!$B$2:$B$500,$B$1,Executions!$C$2:$C$500,$A13,Executions!$F$2:$F$500,"U")&gt;0,"U",IF(COUNTIFS(Executions!$B$2:$B$500,$B$1,Executions!$C$2:$C$500,$A13,Executions!$F$2:$F$500,"A")&gt;0,"A","F"))))</f>
        <v>pending</v>
      </c>
      <c r="G13" s="14" t="str">
        <f aca="false">IF(OR($B$1="",$E13=0),"",IFERROR(AVERAGEIFS(Executions!$I$2:$I$500,Executions!$B$2:$B$500,$B$1,Executions!$C$2:$C$500,$A13),"—"))</f>
        <v/>
      </c>
      <c r="H13" s="15" t="str">
        <f aca="false">IF($B$1="","",IFERROR(AVERAGEIFS(ProbeResults!$D$2:$D$500,ProbeResults!$A$2:$A$500,$B$1,ProbeResults!$F$2:$F$500,$A13),"—"))</f>
        <v>—</v>
      </c>
      <c r="I13" s="10" t="str">
        <f aca="false">IF(Scripts!I10="Y","HAZARD","")</f>
        <v/>
      </c>
    </row>
    <row r="14" customFormat="false" ht="15" hidden="false" customHeight="true" outlineLevel="0" collapsed="false">
      <c r="A14" s="10" t="str">
        <f aca="false">Scripts!A11</f>
        <v>A-01</v>
      </c>
      <c r="B14" s="10" t="str">
        <f aca="false">Scripts!B11</f>
        <v>Analyst</v>
      </c>
      <c r="C14" s="7" t="str">
        <f aca="false">Scripts!C11</f>
        <v>Queue discovery and triage</v>
      </c>
      <c r="D14" s="10" t="str">
        <f aca="false">IF($B$1="","—",IF(AND(OR(Scripts!G11&lt;&gt;"Y",$D$2="yes"),OR(Scripts!H11&lt;&gt;"Y",$H$2="yes")),"runnable","GATED"))</f>
        <v>runnable</v>
      </c>
      <c r="E14" s="10" t="n">
        <f aca="false">IF($B$1="","",COUNTIFS(Executions!$B$2:$B$500,$B$1,Executions!$C$2:$C$500,$A14))</f>
        <v>0</v>
      </c>
      <c r="F14" s="10" t="str">
        <f aca="false">IF($B$1="","",IF($E14=0,"pending",IF(COUNTIFS(Executions!$B$2:$B$500,$B$1,Executions!$C$2:$C$500,$A14,Executions!$F$2:$F$500,"U")&gt;0,"U",IF(COUNTIFS(Executions!$B$2:$B$500,$B$1,Executions!$C$2:$C$500,$A14,Executions!$F$2:$F$500,"A")&gt;0,"A","F"))))</f>
        <v>pending</v>
      </c>
      <c r="G14" s="14" t="str">
        <f aca="false">IF(OR($B$1="",$E14=0),"",IFERROR(AVERAGEIFS(Executions!$I$2:$I$500,Executions!$B$2:$B$500,$B$1,Executions!$C$2:$C$500,$A14),"—"))</f>
        <v/>
      </c>
      <c r="H14" s="15" t="str">
        <f aca="false">IF($B$1="","",IFERROR(AVERAGEIFS(ProbeResults!$D$2:$D$500,ProbeResults!$A$2:$A$500,$B$1,ProbeResults!$F$2:$F$500,$A14),"—"))</f>
        <v>—</v>
      </c>
      <c r="I14" s="10" t="str">
        <f aca="false">IF(Scripts!I11="Y","HAZARD","")</f>
        <v/>
      </c>
    </row>
    <row r="15" customFormat="false" ht="15" hidden="false" customHeight="true" outlineLevel="0" collapsed="false">
      <c r="A15" s="10" t="str">
        <f aca="false">Scripts!A12</f>
        <v>A-02</v>
      </c>
      <c r="B15" s="10" t="str">
        <f aca="false">Scripts!B12</f>
        <v>Analyst</v>
      </c>
      <c r="C15" s="7" t="str">
        <f aca="false">Scripts!C12</f>
        <v>Review and approve a clean submission</v>
      </c>
      <c r="D15" s="10" t="str">
        <f aca="false">IF($B$1="","—",IF(AND(OR(Scripts!G12&lt;&gt;"Y",$D$2="yes"),OR(Scripts!H12&lt;&gt;"Y",$H$2="yes")),"runnable","GATED"))</f>
        <v>runnable</v>
      </c>
      <c r="E15" s="10" t="n">
        <f aca="false">IF($B$1="","",COUNTIFS(Executions!$B$2:$B$500,$B$1,Executions!$C$2:$C$500,$A15))</f>
        <v>0</v>
      </c>
      <c r="F15" s="10" t="str">
        <f aca="false">IF($B$1="","",IF($E15=0,"pending",IF(COUNTIFS(Executions!$B$2:$B$500,$B$1,Executions!$C$2:$C$500,$A15,Executions!$F$2:$F$500,"U")&gt;0,"U",IF(COUNTIFS(Executions!$B$2:$B$500,$B$1,Executions!$C$2:$C$500,$A15,Executions!$F$2:$F$500,"A")&gt;0,"A","F"))))</f>
        <v>pending</v>
      </c>
      <c r="G15" s="14" t="str">
        <f aca="false">IF(OR($B$1="",$E15=0),"",IFERROR(AVERAGEIFS(Executions!$I$2:$I$500,Executions!$B$2:$B$500,$B$1,Executions!$C$2:$C$500,$A15),"—"))</f>
        <v/>
      </c>
      <c r="H15" s="15" t="str">
        <f aca="false">IF($B$1="","",IFERROR(AVERAGEIFS(ProbeResults!$D$2:$D$500,ProbeResults!$A$2:$A$500,$B$1,ProbeResults!$F$2:$F$500,$A15),"—"))</f>
        <v>—</v>
      </c>
      <c r="I15" s="10" t="str">
        <f aca="false">IF(Scripts!I12="Y","HAZARD","")</f>
        <v/>
      </c>
    </row>
    <row r="16" customFormat="false" ht="15" hidden="false" customHeight="true" outlineLevel="0" collapsed="false">
      <c r="A16" s="10" t="str">
        <f aca="false">Scripts!A13</f>
        <v>A-03</v>
      </c>
      <c r="B16" s="10" t="str">
        <f aca="false">Scripts!B13</f>
        <v>Analyst</v>
      </c>
      <c r="C16" s="7" t="str">
        <f aca="false">Scripts!C13</f>
        <v>Review a failed submission</v>
      </c>
      <c r="D16" s="10" t="str">
        <f aca="false">IF($B$1="","—",IF(AND(OR(Scripts!G13&lt;&gt;"Y",$D$2="yes"),OR(Scripts!H13&lt;&gt;"Y",$H$2="yes")),"runnable","GATED"))</f>
        <v>runnable</v>
      </c>
      <c r="E16" s="10" t="n">
        <f aca="false">IF($B$1="","",COUNTIFS(Executions!$B$2:$B$500,$B$1,Executions!$C$2:$C$500,$A16))</f>
        <v>0</v>
      </c>
      <c r="F16" s="10" t="str">
        <f aca="false">IF($B$1="","",IF($E16=0,"pending",IF(COUNTIFS(Executions!$B$2:$B$500,$B$1,Executions!$C$2:$C$500,$A16,Executions!$F$2:$F$500,"U")&gt;0,"U",IF(COUNTIFS(Executions!$B$2:$B$500,$B$1,Executions!$C$2:$C$500,$A16,Executions!$F$2:$F$500,"A")&gt;0,"A","F"))))</f>
        <v>pending</v>
      </c>
      <c r="G16" s="14" t="str">
        <f aca="false">IF(OR($B$1="",$E16=0),"",IFERROR(AVERAGEIFS(Executions!$I$2:$I$500,Executions!$B$2:$B$500,$B$1,Executions!$C$2:$C$500,$A16),"—"))</f>
        <v/>
      </c>
      <c r="H16" s="15" t="str">
        <f aca="false">IF($B$1="","",IFERROR(AVERAGEIFS(ProbeResults!$D$2:$D$500,ProbeResults!$A$2:$A$500,$B$1,ProbeResults!$F$2:$F$500,$A16),"—"))</f>
        <v>—</v>
      </c>
      <c r="I16" s="10" t="str">
        <f aca="false">IF(Scripts!I13="Y","HAZARD","")</f>
        <v/>
      </c>
    </row>
    <row r="17" customFormat="false" ht="15" hidden="false" customHeight="true" outlineLevel="0" collapsed="false">
      <c r="A17" s="10" t="str">
        <f aca="false">Scripts!A14</f>
        <v>A-04</v>
      </c>
      <c r="B17" s="10" t="str">
        <f aca="false">Scripts!B14</f>
        <v>Analyst</v>
      </c>
      <c r="C17" s="7" t="str">
        <f aca="false">Scripts!C14</f>
        <v>Request rework with a note</v>
      </c>
      <c r="D17" s="10" t="str">
        <f aca="false">IF($B$1="","—",IF(AND(OR(Scripts!G14&lt;&gt;"Y",$D$2="yes"),OR(Scripts!H14&lt;&gt;"Y",$H$2="yes")),"runnable","GATED"))</f>
        <v>runnable</v>
      </c>
      <c r="E17" s="10" t="n">
        <f aca="false">IF($B$1="","",COUNTIFS(Executions!$B$2:$B$500,$B$1,Executions!$C$2:$C$500,$A17))</f>
        <v>0</v>
      </c>
      <c r="F17" s="10" t="str">
        <f aca="false">IF($B$1="","",IF($E17=0,"pending",IF(COUNTIFS(Executions!$B$2:$B$500,$B$1,Executions!$C$2:$C$500,$A17,Executions!$F$2:$F$500,"U")&gt;0,"U",IF(COUNTIFS(Executions!$B$2:$B$500,$B$1,Executions!$C$2:$C$500,$A17,Executions!$F$2:$F$500,"A")&gt;0,"A","F"))))</f>
        <v>pending</v>
      </c>
      <c r="G17" s="14" t="str">
        <f aca="false">IF(OR($B$1="",$E17=0),"",IFERROR(AVERAGEIFS(Executions!$I$2:$I$500,Executions!$B$2:$B$500,$B$1,Executions!$C$2:$C$500,$A17),"—"))</f>
        <v/>
      </c>
      <c r="H17" s="15" t="str">
        <f aca="false">IF($B$1="","",IFERROR(AVERAGEIFS(ProbeResults!$D$2:$D$500,ProbeResults!$A$2:$A$500,$B$1,ProbeResults!$F$2:$F$500,$A17),"—"))</f>
        <v>—</v>
      </c>
      <c r="I17" s="10" t="str">
        <f aca="false">IF(Scripts!I14="Y","HAZARD","")</f>
        <v/>
      </c>
    </row>
    <row r="18" customFormat="false" ht="15" hidden="false" customHeight="true" outlineLevel="0" collapsed="false">
      <c r="A18" s="10" t="str">
        <f aca="false">Scripts!A15</f>
        <v>A-05</v>
      </c>
      <c r="B18" s="10" t="str">
        <f aca="false">Scripts!B15</f>
        <v>Analyst</v>
      </c>
      <c r="C18" s="7" t="str">
        <f aca="false">Scripts!C15</f>
        <v>Full-cycle history integrity</v>
      </c>
      <c r="D18" s="10" t="str">
        <f aca="false">IF($B$1="","—",IF(AND(OR(Scripts!G15&lt;&gt;"Y",$D$2="yes"),OR(Scripts!H15&lt;&gt;"Y",$H$2="yes")),"runnable","GATED"))</f>
        <v>runnable</v>
      </c>
      <c r="E18" s="10" t="n">
        <f aca="false">IF($B$1="","",COUNTIFS(Executions!$B$2:$B$500,$B$1,Executions!$C$2:$C$500,$A18))</f>
        <v>0</v>
      </c>
      <c r="F18" s="10" t="str">
        <f aca="false">IF($B$1="","",IF($E18=0,"pending",IF(COUNTIFS(Executions!$B$2:$B$500,$B$1,Executions!$C$2:$C$500,$A18,Executions!$F$2:$F$500,"U")&gt;0,"U",IF(COUNTIFS(Executions!$B$2:$B$500,$B$1,Executions!$C$2:$C$500,$A18,Executions!$F$2:$F$500,"A")&gt;0,"A","F"))))</f>
        <v>pending</v>
      </c>
      <c r="G18" s="14" t="str">
        <f aca="false">IF(OR($B$1="",$E18=0),"",IFERROR(AVERAGEIFS(Executions!$I$2:$I$500,Executions!$B$2:$B$500,$B$1,Executions!$C$2:$C$500,$A18),"—"))</f>
        <v/>
      </c>
      <c r="H18" s="15" t="str">
        <f aca="false">IF($B$1="","",IFERROR(AVERAGEIFS(ProbeResults!$D$2:$D$500,ProbeResults!$A$2:$A$500,$B$1,ProbeResults!$F$2:$F$500,$A18),"—"))</f>
        <v>—</v>
      </c>
      <c r="I18" s="10" t="str">
        <f aca="false">IF(Scripts!I15="Y","HAZARD","")</f>
        <v/>
      </c>
    </row>
    <row r="19" customFormat="false" ht="15" hidden="false" customHeight="true" outlineLevel="0" collapsed="false">
      <c r="A19" s="10" t="str">
        <f aca="false">Scripts!A16</f>
        <v>A-06</v>
      </c>
      <c r="B19" s="10" t="str">
        <f aca="false">Scripts!B16</f>
        <v>Analyst</v>
      </c>
      <c r="C19" s="7" t="str">
        <f aca="false">Scripts!C16</f>
        <v>Seeded-data review gate</v>
      </c>
      <c r="D19" s="10" t="str">
        <f aca="false">IF($B$1="","—",IF(AND(OR(Scripts!G16&lt;&gt;"Y",$D$2="yes"),OR(Scripts!H16&lt;&gt;"Y",$H$2="yes")),"runnable","GATED"))</f>
        <v>GATED</v>
      </c>
      <c r="E19" s="10" t="n">
        <f aca="false">IF($B$1="","",COUNTIFS(Executions!$B$2:$B$500,$B$1,Executions!$C$2:$C$500,$A19))</f>
        <v>0</v>
      </c>
      <c r="F19" s="10" t="str">
        <f aca="false">IF($B$1="","",IF($E19=0,"pending",IF(COUNTIFS(Executions!$B$2:$B$500,$B$1,Executions!$C$2:$C$500,$A19,Executions!$F$2:$F$500,"U")&gt;0,"U",IF(COUNTIFS(Executions!$B$2:$B$500,$B$1,Executions!$C$2:$C$500,$A19,Executions!$F$2:$F$500,"A")&gt;0,"A","F"))))</f>
        <v>pending</v>
      </c>
      <c r="G19" s="14" t="str">
        <f aca="false">IF(OR($B$1="",$E19=0),"",IFERROR(AVERAGEIFS(Executions!$I$2:$I$500,Executions!$B$2:$B$500,$B$1,Executions!$C$2:$C$500,$A19),"—"))</f>
        <v/>
      </c>
      <c r="H19" s="15" t="str">
        <f aca="false">IF($B$1="","",IFERROR(AVERAGEIFS(ProbeResults!$D$2:$D$500,ProbeResults!$A$2:$A$500,$B$1,ProbeResults!$F$2:$F$500,$A19),"—"))</f>
        <v>—</v>
      </c>
      <c r="I19" s="10" t="str">
        <f aca="false">IF(Scripts!I16="Y","HAZARD","")</f>
        <v/>
      </c>
    </row>
    <row r="20" customFormat="false" ht="15" hidden="false" customHeight="true" outlineLevel="0" collapsed="false">
      <c r="A20" s="10" t="str">
        <f aca="false">Scripts!A17</f>
        <v>A-07</v>
      </c>
      <c r="B20" s="10" t="str">
        <f aca="false">Scripts!B17</f>
        <v>Analyst</v>
      </c>
      <c r="C20" s="7" t="str">
        <f aca="false">Scripts!C17</f>
        <v>Validation report actionability</v>
      </c>
      <c r="D20" s="10" t="str">
        <f aca="false">IF($B$1="","—",IF(AND(OR(Scripts!G17&lt;&gt;"Y",$D$2="yes"),OR(Scripts!H17&lt;&gt;"Y",$H$2="yes")),"runnable","GATED"))</f>
        <v>runnable</v>
      </c>
      <c r="E20" s="10" t="n">
        <f aca="false">IF($B$1="","",COUNTIFS(Executions!$B$2:$B$500,$B$1,Executions!$C$2:$C$500,$A20))</f>
        <v>0</v>
      </c>
      <c r="F20" s="10" t="str">
        <f aca="false">IF($B$1="","",IF($E20=0,"pending",IF(COUNTIFS(Executions!$B$2:$B$500,$B$1,Executions!$C$2:$C$500,$A20,Executions!$F$2:$F$500,"U")&gt;0,"U",IF(COUNTIFS(Executions!$B$2:$B$500,$B$1,Executions!$C$2:$C$500,$A20,Executions!$F$2:$F$500,"A")&gt;0,"A","F"))))</f>
        <v>pending</v>
      </c>
      <c r="G20" s="14" t="str">
        <f aca="false">IF(OR($B$1="",$E20=0),"",IFERROR(AVERAGEIFS(Executions!$I$2:$I$500,Executions!$B$2:$B$500,$B$1,Executions!$C$2:$C$500,$A20),"—"))</f>
        <v/>
      </c>
      <c r="H20" s="15" t="str">
        <f aca="false">IF($B$1="","",IFERROR(AVERAGEIFS(ProbeResults!$D$2:$D$500,ProbeResults!$A$2:$A$500,$B$1,ProbeResults!$F$2:$F$500,$A20),"—"))</f>
        <v>—</v>
      </c>
      <c r="I20" s="10" t="str">
        <f aca="false">IF(Scripts!I17="Y","HAZARD","")</f>
        <v/>
      </c>
    </row>
    <row r="21" customFormat="false" ht="15" hidden="false" customHeight="true" outlineLevel="0" collapsed="false">
      <c r="A21" s="10" t="str">
        <f aca="false">Scripts!A18</f>
        <v>A-08</v>
      </c>
      <c r="B21" s="10" t="str">
        <f aca="false">Scripts!B18</f>
        <v>Analyst</v>
      </c>
      <c r="C21" s="7" t="str">
        <f aca="false">Scripts!C18</f>
        <v>Guard behavior on out-of-order actions</v>
      </c>
      <c r="D21" s="10" t="str">
        <f aca="false">IF($B$1="","—",IF(AND(OR(Scripts!G18&lt;&gt;"Y",$D$2="yes"),OR(Scripts!H18&lt;&gt;"Y",$H$2="yes")),"runnable","GATED"))</f>
        <v>runnable</v>
      </c>
      <c r="E21" s="10" t="n">
        <f aca="false">IF($B$1="","",COUNTIFS(Executions!$B$2:$B$500,$B$1,Executions!$C$2:$C$500,$A21))</f>
        <v>0</v>
      </c>
      <c r="F21" s="10" t="str">
        <f aca="false">IF($B$1="","",IF($E21=0,"pending",IF(COUNTIFS(Executions!$B$2:$B$500,$B$1,Executions!$C$2:$C$500,$A21,Executions!$F$2:$F$500,"U")&gt;0,"U",IF(COUNTIFS(Executions!$B$2:$B$500,$B$1,Executions!$C$2:$C$500,$A21,Executions!$F$2:$F$500,"A")&gt;0,"A","F"))))</f>
        <v>pending</v>
      </c>
      <c r="G21" s="14" t="str">
        <f aca="false">IF(OR($B$1="",$E21=0),"",IFERROR(AVERAGEIFS(Executions!$I$2:$I$500,Executions!$B$2:$B$500,$B$1,Executions!$C$2:$C$500,$A21),"—"))</f>
        <v/>
      </c>
      <c r="H21" s="15" t="str">
        <f aca="false">IF($B$1="","",IFERROR(AVERAGEIFS(ProbeResults!$D$2:$D$500,ProbeResults!$A$2:$A$500,$B$1,ProbeResults!$F$2:$F$500,$A21),"—"))</f>
        <v>—</v>
      </c>
      <c r="I21" s="10" t="str">
        <f aca="false">IF(Scripts!I18="Y","HAZARD","")</f>
        <v/>
      </c>
    </row>
  </sheetData>
  <conditionalFormatting sqref="D5:D21">
    <cfRule type="expression" priority="2" aboveAverage="0" equalAverage="0" bottom="0" percent="0" rank="0" text="" dxfId="2">
      <formula>$D5="GATED"</formula>
    </cfRule>
  </conditionalFormatting>
  <conditionalFormatting sqref="I5:I21">
    <cfRule type="expression" priority="3" aboveAverage="0" equalAverage="0" bottom="0" percent="0" rank="0" text="" dxfId="3">
      <formula>$I5="HAZARD"</formula>
    </cfRule>
  </conditionalFormatting>
  <conditionalFormatting sqref="F5:F21">
    <cfRule type="expression" priority="4" aboveAverage="0" equalAverage="0" bottom="0" percent="0" rank="0" text="" dxfId="4">
      <formula>$F5="pending"</formula>
    </cfRule>
  </conditionalFormatting>
  <dataValidations count="1">
    <dataValidation allowBlank="true" errorStyle="stop" operator="between" showDropDown="false" showErrorMessage="false" showInputMessage="false" sqref="B1" type="list">
      <formula1>RunIDs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9" min="8" style="1" width="9"/>
    <col collapsed="false" customWidth="true" hidden="false" outlineLevel="0" max="10" min="10" style="1" width="12"/>
    <col collapsed="false" customWidth="true" hidden="false" outlineLevel="0" max="12" min="11" style="1" width="11"/>
    <col collapsed="false" customWidth="true" hidden="false" outlineLevel="0" max="13" min="13" style="1" width="9"/>
    <col collapsed="false" customWidth="true" hidden="false" outlineLevel="0" max="15" min="14" style="1" width="8"/>
  </cols>
  <sheetData>
    <row r="1" customFormat="false" ht="15.75" hidden="false" customHeight="true" outlineLevel="0" collapsed="false">
      <c r="A1" s="16" t="s">
        <v>186</v>
      </c>
    </row>
    <row r="2" customFormat="false" ht="15" hidden="false" customHeight="true" outlineLevel="0" collapsed="false">
      <c r="A2" s="13" t="s">
        <v>187</v>
      </c>
      <c r="G2" s="17" t="n">
        <v>0.8</v>
      </c>
      <c r="H2" s="18" t="n">
        <v>5.5</v>
      </c>
      <c r="I2" s="18" t="n">
        <v>5.5</v>
      </c>
      <c r="J2" s="17" t="n">
        <v>0.9</v>
      </c>
      <c r="K2" s="17" t="n">
        <v>0.9</v>
      </c>
      <c r="L2" s="17" t="n">
        <v>0.9</v>
      </c>
      <c r="M2" s="19" t="n">
        <v>0</v>
      </c>
    </row>
    <row r="3" customFormat="false" ht="23.25" hidden="false" customHeight="true" outlineLevel="0" collapsed="false">
      <c r="A3" s="6" t="s">
        <v>19</v>
      </c>
      <c r="B3" s="6" t="s">
        <v>20</v>
      </c>
      <c r="C3" s="6" t="s">
        <v>21</v>
      </c>
      <c r="D3" s="6" t="s">
        <v>188</v>
      </c>
      <c r="E3" s="6" t="s">
        <v>182</v>
      </c>
      <c r="F3" s="6" t="s">
        <v>189</v>
      </c>
      <c r="G3" s="6" t="s">
        <v>190</v>
      </c>
      <c r="H3" s="6" t="s">
        <v>184</v>
      </c>
      <c r="I3" s="6" t="s">
        <v>191</v>
      </c>
      <c r="J3" s="6" t="s">
        <v>185</v>
      </c>
      <c r="K3" s="6" t="s">
        <v>192</v>
      </c>
      <c r="L3" s="6" t="s">
        <v>193</v>
      </c>
      <c r="M3" s="6" t="s">
        <v>194</v>
      </c>
      <c r="N3" s="6" t="s">
        <v>195</v>
      </c>
      <c r="O3" s="6" t="s">
        <v>196</v>
      </c>
    </row>
    <row r="4" customFormat="false" ht="15" hidden="false" customHeight="true" outlineLevel="0" collapsed="false">
      <c r="A4" s="10" t="str">
        <f aca="false">IF(Runs!A2="","",Runs!A2)</f>
        <v>R0-example</v>
      </c>
      <c r="B4" s="10" t="str">
        <f aca="false">IF($A4="","",Runs!B2)</f>
        <v>2026-07-22</v>
      </c>
      <c r="C4" s="10" t="str">
        <f aca="false">IF($A4="","",Runs!C2)</f>
        <v>v121-pilot</v>
      </c>
      <c r="D4" s="10" t="str">
        <f aca="false">IF($A4="","",Runs!E2)</f>
        <v>pilot</v>
      </c>
      <c r="E4" s="10" t="n">
        <f aca="false">IF($A4="","",COUNTIFS(Executions!$B$2:$B$500,$A4))</f>
        <v>1</v>
      </c>
      <c r="F4" s="10" t="n">
        <f aca="false">IF($A4="","",SUMPRODUCT(--(COUNTIFS(Executions!$B$2:$B$500,$A4,Executions!$C$2:$C$500,Scripts!$A$2:$A$18)&gt;0)))</f>
        <v>1</v>
      </c>
      <c r="G4" s="15" t="n">
        <f aca="false">IF(OR($A4="",$E4=0),"",COUNTIFS(Executions!$B$2:$B$500,$A4,Executions!$F$2:$F$500,"U")/$E4)</f>
        <v>1</v>
      </c>
      <c r="H4" s="14" t="n">
        <f aca="false">IF(OR($A4="",$E4=0),"",IFERROR(AVERAGEIFS(Executions!$I$2:$I$500,Executions!$B$2:$B$500,$A4),""))</f>
        <v>6</v>
      </c>
      <c r="I4" s="14" t="n">
        <f aca="false">IF(OR($A4="",$E4=0),"",_xlfn.MINIFS(Executions!$I$2:$I$500,Executions!$B$2:$B$500,$A4))</f>
        <v>6</v>
      </c>
      <c r="J4" s="15" t="n">
        <f aca="false">IF($A4="","",IFERROR(AVERAGEIFS(ProbeResults!$D$2:$D$500,ProbeResults!$A$2:$A$500,$A4),"—"))</f>
        <v>0.75</v>
      </c>
      <c r="K4" s="15" t="str">
        <f aca="false">IF($A4="","",IFERROR(AVERAGEIFS(ProbeResults!$D$2:$D$500,ProbeResults!$A$2:$A$500,$A4,ProbeResults!$B$2:$B$500,"P4"),"—"))</f>
        <v>—</v>
      </c>
      <c r="L4" s="15" t="str">
        <f aca="false">IF($A4="","",IFERROR(AVERAGEIFS(ProbeResults!$D$2:$D$500,ProbeResults!$A$2:$A$500,$A4,ProbeResults!$B$2:$B$500,"P5"),"—"))</f>
        <v>—</v>
      </c>
      <c r="M4" s="20" t="n">
        <f aca="false">IF($A4="","",COUNTIFS(Defects!$B$2:$B$300,$A4,Defects!$F$2:$F$300,"Blocker"))</f>
        <v>0</v>
      </c>
      <c r="N4" s="10" t="n">
        <f aca="false">IF($A4="","",COUNTIFS(Defects!$B$2:$B$300,$A4,Defects!$F$2:$F$300,"Major"))</f>
        <v>0</v>
      </c>
      <c r="O4" s="10" t="n">
        <f aca="false">IF($A4="","",COUNTIFS(Defects!$B$2:$B$300,$A4,Defects!$F$2:$F$300,"Minor"))</f>
        <v>1</v>
      </c>
    </row>
    <row r="5" customFormat="false" ht="15" hidden="false" customHeight="true" outlineLevel="0" collapsed="false">
      <c r="A5" s="10" t="str">
        <f aca="false">IF(Runs!A3="","",Runs!A3)</f>
        <v/>
      </c>
      <c r="B5" s="10" t="str">
        <f aca="false">IF($A5="","",Runs!B3)</f>
        <v/>
      </c>
      <c r="C5" s="10" t="str">
        <f aca="false">IF($A5="","",Runs!C3)</f>
        <v/>
      </c>
      <c r="D5" s="10" t="str">
        <f aca="false">IF($A5="","",Runs!E3)</f>
        <v/>
      </c>
      <c r="E5" s="10" t="str">
        <f aca="false">IF($A5="","",COUNTIFS(Executions!$B$2:$B$500,$A5))</f>
        <v/>
      </c>
      <c r="F5" s="10" t="str">
        <f aca="false">IF($A5="","",SUMPRODUCT(--(COUNTIFS(Executions!$B$2:$B$500,$A5,Executions!$C$2:$C$500,Scripts!$A$2:$A$18)&gt;0)))</f>
        <v/>
      </c>
      <c r="G5" s="15" t="str">
        <f aca="false">IF(OR($A5="",$E5=0),"",COUNTIFS(Executions!$B$2:$B$500,$A5,Executions!$F$2:$F$500,"U")/$E5)</f>
        <v/>
      </c>
      <c r="H5" s="14" t="str">
        <f aca="false">IF(OR($A5="",$E5=0),"",IFERROR(AVERAGEIFS(Executions!$I$2:$I$500,Executions!$B$2:$B$500,$A5),""))</f>
        <v/>
      </c>
      <c r="I5" s="14" t="str">
        <f aca="false">IF(OR($A5="",$E5=0),"",_xlfn.MINIFS(Executions!$I$2:$I$500,Executions!$B$2:$B$500,$A5))</f>
        <v/>
      </c>
      <c r="J5" s="15" t="str">
        <f aca="false">IF($A5="","",IFERROR(AVERAGEIFS(ProbeResults!$D$2:$D$500,ProbeResults!$A$2:$A$500,$A5),"—"))</f>
        <v/>
      </c>
      <c r="K5" s="15" t="str">
        <f aca="false">IF($A5="","",IFERROR(AVERAGEIFS(ProbeResults!$D$2:$D$500,ProbeResults!$A$2:$A$500,$A5,ProbeResults!$B$2:$B$500,"P4"),"—"))</f>
        <v/>
      </c>
      <c r="L5" s="15" t="str">
        <f aca="false">IF($A5="","",IFERROR(AVERAGEIFS(ProbeResults!$D$2:$D$500,ProbeResults!$A$2:$A$500,$A5,ProbeResults!$B$2:$B$500,"P5"),"—"))</f>
        <v/>
      </c>
      <c r="M5" s="20" t="str">
        <f aca="false">IF($A5="","",COUNTIFS(Defects!$B$2:$B$300,$A5,Defects!$F$2:$F$300,"Blocker"))</f>
        <v/>
      </c>
      <c r="N5" s="10" t="str">
        <f aca="false">IF($A5="","",COUNTIFS(Defects!$B$2:$B$300,$A5,Defects!$F$2:$F$300,"Major"))</f>
        <v/>
      </c>
      <c r="O5" s="10" t="str">
        <f aca="false">IF($A5="","",COUNTIFS(Defects!$B$2:$B$300,$A5,Defects!$F$2:$F$300,"Minor"))</f>
        <v/>
      </c>
    </row>
    <row r="6" customFormat="false" ht="15" hidden="false" customHeight="true" outlineLevel="0" collapsed="false">
      <c r="A6" s="10" t="str">
        <f aca="false">IF(Runs!A4="","",Runs!A4)</f>
        <v/>
      </c>
      <c r="B6" s="10" t="str">
        <f aca="false">IF($A6="","",Runs!B4)</f>
        <v/>
      </c>
      <c r="C6" s="10" t="str">
        <f aca="false">IF($A6="","",Runs!C4)</f>
        <v/>
      </c>
      <c r="D6" s="10" t="str">
        <f aca="false">IF($A6="","",Runs!E4)</f>
        <v/>
      </c>
      <c r="E6" s="10" t="str">
        <f aca="false">IF($A6="","",COUNTIFS(Executions!$B$2:$B$500,$A6))</f>
        <v/>
      </c>
      <c r="F6" s="10" t="str">
        <f aca="false">IF($A6="","",SUMPRODUCT(--(COUNTIFS(Executions!$B$2:$B$500,$A6,Executions!$C$2:$C$500,Scripts!$A$2:$A$18)&gt;0)))</f>
        <v/>
      </c>
      <c r="G6" s="15" t="str">
        <f aca="false">IF(OR($A6="",$E6=0),"",COUNTIFS(Executions!$B$2:$B$500,$A6,Executions!$F$2:$F$500,"U")/$E6)</f>
        <v/>
      </c>
      <c r="H6" s="14" t="str">
        <f aca="false">IF(OR($A6="",$E6=0),"",IFERROR(AVERAGEIFS(Executions!$I$2:$I$500,Executions!$B$2:$B$500,$A6),""))</f>
        <v/>
      </c>
      <c r="I6" s="14" t="str">
        <f aca="false">IF(OR($A6="",$E6=0),"",_xlfn.MINIFS(Executions!$I$2:$I$500,Executions!$B$2:$B$500,$A6))</f>
        <v/>
      </c>
      <c r="J6" s="15" t="str">
        <f aca="false">IF($A6="","",IFERROR(AVERAGEIFS(ProbeResults!$D$2:$D$500,ProbeResults!$A$2:$A$500,$A6),"—"))</f>
        <v/>
      </c>
      <c r="K6" s="15" t="str">
        <f aca="false">IF($A6="","",IFERROR(AVERAGEIFS(ProbeResults!$D$2:$D$500,ProbeResults!$A$2:$A$500,$A6,ProbeResults!$B$2:$B$500,"P4"),"—"))</f>
        <v/>
      </c>
      <c r="L6" s="15" t="str">
        <f aca="false">IF($A6="","",IFERROR(AVERAGEIFS(ProbeResults!$D$2:$D$500,ProbeResults!$A$2:$A$500,$A6,ProbeResults!$B$2:$B$500,"P5"),"—"))</f>
        <v/>
      </c>
      <c r="M6" s="20" t="str">
        <f aca="false">IF($A6="","",COUNTIFS(Defects!$B$2:$B$300,$A6,Defects!$F$2:$F$300,"Blocker"))</f>
        <v/>
      </c>
      <c r="N6" s="10" t="str">
        <f aca="false">IF($A6="","",COUNTIFS(Defects!$B$2:$B$300,$A6,Defects!$F$2:$F$300,"Major"))</f>
        <v/>
      </c>
      <c r="O6" s="10" t="str">
        <f aca="false">IF($A6="","",COUNTIFS(Defects!$B$2:$B$300,$A6,Defects!$F$2:$F$300,"Minor"))</f>
        <v/>
      </c>
    </row>
    <row r="7" customFormat="false" ht="15" hidden="false" customHeight="true" outlineLevel="0" collapsed="false">
      <c r="A7" s="10" t="str">
        <f aca="false">IF(Runs!A5="","",Runs!A5)</f>
        <v/>
      </c>
      <c r="B7" s="10" t="str">
        <f aca="false">IF($A7="","",Runs!B5)</f>
        <v/>
      </c>
      <c r="C7" s="10" t="str">
        <f aca="false">IF($A7="","",Runs!C5)</f>
        <v/>
      </c>
      <c r="D7" s="10" t="str">
        <f aca="false">IF($A7="","",Runs!E5)</f>
        <v/>
      </c>
      <c r="E7" s="10" t="str">
        <f aca="false">IF($A7="","",COUNTIFS(Executions!$B$2:$B$500,$A7))</f>
        <v/>
      </c>
      <c r="F7" s="10" t="str">
        <f aca="false">IF($A7="","",SUMPRODUCT(--(COUNTIFS(Executions!$B$2:$B$500,$A7,Executions!$C$2:$C$500,Scripts!$A$2:$A$18)&gt;0)))</f>
        <v/>
      </c>
      <c r="G7" s="15" t="str">
        <f aca="false">IF(OR($A7="",$E7=0),"",COUNTIFS(Executions!$B$2:$B$500,$A7,Executions!$F$2:$F$500,"U")/$E7)</f>
        <v/>
      </c>
      <c r="H7" s="14" t="str">
        <f aca="false">IF(OR($A7="",$E7=0),"",IFERROR(AVERAGEIFS(Executions!$I$2:$I$500,Executions!$B$2:$B$500,$A7),""))</f>
        <v/>
      </c>
      <c r="I7" s="14" t="str">
        <f aca="false">IF(OR($A7="",$E7=0),"",_xlfn.MINIFS(Executions!$I$2:$I$500,Executions!$B$2:$B$500,$A7))</f>
        <v/>
      </c>
      <c r="J7" s="15" t="str">
        <f aca="false">IF($A7="","",IFERROR(AVERAGEIFS(ProbeResults!$D$2:$D$500,ProbeResults!$A$2:$A$500,$A7),"—"))</f>
        <v/>
      </c>
      <c r="K7" s="15" t="str">
        <f aca="false">IF($A7="","",IFERROR(AVERAGEIFS(ProbeResults!$D$2:$D$500,ProbeResults!$A$2:$A$500,$A7,ProbeResults!$B$2:$B$500,"P4"),"—"))</f>
        <v/>
      </c>
      <c r="L7" s="15" t="str">
        <f aca="false">IF($A7="","",IFERROR(AVERAGEIFS(ProbeResults!$D$2:$D$500,ProbeResults!$A$2:$A$500,$A7,ProbeResults!$B$2:$B$500,"P5"),"—"))</f>
        <v/>
      </c>
      <c r="M7" s="20" t="str">
        <f aca="false">IF($A7="","",COUNTIFS(Defects!$B$2:$B$300,$A7,Defects!$F$2:$F$300,"Blocker"))</f>
        <v/>
      </c>
      <c r="N7" s="10" t="str">
        <f aca="false">IF($A7="","",COUNTIFS(Defects!$B$2:$B$300,$A7,Defects!$F$2:$F$300,"Major"))</f>
        <v/>
      </c>
      <c r="O7" s="10" t="str">
        <f aca="false">IF($A7="","",COUNTIFS(Defects!$B$2:$B$300,$A7,Defects!$F$2:$F$300,"Minor"))</f>
        <v/>
      </c>
    </row>
    <row r="8" customFormat="false" ht="15" hidden="false" customHeight="true" outlineLevel="0" collapsed="false">
      <c r="A8" s="10" t="str">
        <f aca="false">IF(Runs!A6="","",Runs!A6)</f>
        <v/>
      </c>
      <c r="B8" s="10" t="str">
        <f aca="false">IF($A8="","",Runs!B6)</f>
        <v/>
      </c>
      <c r="C8" s="10" t="str">
        <f aca="false">IF($A8="","",Runs!C6)</f>
        <v/>
      </c>
      <c r="D8" s="10" t="str">
        <f aca="false">IF($A8="","",Runs!E6)</f>
        <v/>
      </c>
      <c r="E8" s="10" t="str">
        <f aca="false">IF($A8="","",COUNTIFS(Executions!$B$2:$B$500,$A8))</f>
        <v/>
      </c>
      <c r="F8" s="10" t="str">
        <f aca="false">IF($A8="","",SUMPRODUCT(--(COUNTIFS(Executions!$B$2:$B$500,$A8,Executions!$C$2:$C$500,Scripts!$A$2:$A$18)&gt;0)))</f>
        <v/>
      </c>
      <c r="G8" s="15" t="str">
        <f aca="false">IF(OR($A8="",$E8=0),"",COUNTIFS(Executions!$B$2:$B$500,$A8,Executions!$F$2:$F$500,"U")/$E8)</f>
        <v/>
      </c>
      <c r="H8" s="14" t="str">
        <f aca="false">IF(OR($A8="",$E8=0),"",IFERROR(AVERAGEIFS(Executions!$I$2:$I$500,Executions!$B$2:$B$500,$A8),""))</f>
        <v/>
      </c>
      <c r="I8" s="14" t="str">
        <f aca="false">IF(OR($A8="",$E8=0),"",_xlfn.MINIFS(Executions!$I$2:$I$500,Executions!$B$2:$B$500,$A8))</f>
        <v/>
      </c>
      <c r="J8" s="15" t="str">
        <f aca="false">IF($A8="","",IFERROR(AVERAGEIFS(ProbeResults!$D$2:$D$500,ProbeResults!$A$2:$A$500,$A8),"—"))</f>
        <v/>
      </c>
      <c r="K8" s="15" t="str">
        <f aca="false">IF($A8="","",IFERROR(AVERAGEIFS(ProbeResults!$D$2:$D$500,ProbeResults!$A$2:$A$500,$A8,ProbeResults!$B$2:$B$500,"P4"),"—"))</f>
        <v/>
      </c>
      <c r="L8" s="15" t="str">
        <f aca="false">IF($A8="","",IFERROR(AVERAGEIFS(ProbeResults!$D$2:$D$500,ProbeResults!$A$2:$A$500,$A8,ProbeResults!$B$2:$B$500,"P5"),"—"))</f>
        <v/>
      </c>
      <c r="M8" s="20" t="str">
        <f aca="false">IF($A8="","",COUNTIFS(Defects!$B$2:$B$300,$A8,Defects!$F$2:$F$300,"Blocker"))</f>
        <v/>
      </c>
      <c r="N8" s="10" t="str">
        <f aca="false">IF($A8="","",COUNTIFS(Defects!$B$2:$B$300,$A8,Defects!$F$2:$F$300,"Major"))</f>
        <v/>
      </c>
      <c r="O8" s="10" t="str">
        <f aca="false">IF($A8="","",COUNTIFS(Defects!$B$2:$B$300,$A8,Defects!$F$2:$F$300,"Minor"))</f>
        <v/>
      </c>
    </row>
    <row r="9" customFormat="false" ht="15" hidden="false" customHeight="true" outlineLevel="0" collapsed="false">
      <c r="A9" s="10" t="str">
        <f aca="false">IF(Runs!A7="","",Runs!A7)</f>
        <v/>
      </c>
      <c r="B9" s="10" t="str">
        <f aca="false">IF($A9="","",Runs!B7)</f>
        <v/>
      </c>
      <c r="C9" s="10" t="str">
        <f aca="false">IF($A9="","",Runs!C7)</f>
        <v/>
      </c>
      <c r="D9" s="10" t="str">
        <f aca="false">IF($A9="","",Runs!E7)</f>
        <v/>
      </c>
      <c r="E9" s="10" t="str">
        <f aca="false">IF($A9="","",COUNTIFS(Executions!$B$2:$B$500,$A9))</f>
        <v/>
      </c>
      <c r="F9" s="10" t="str">
        <f aca="false">IF($A9="","",SUMPRODUCT(--(COUNTIFS(Executions!$B$2:$B$500,$A9,Executions!$C$2:$C$500,Scripts!$A$2:$A$18)&gt;0)))</f>
        <v/>
      </c>
      <c r="G9" s="15" t="str">
        <f aca="false">IF(OR($A9="",$E9=0),"",COUNTIFS(Executions!$B$2:$B$500,$A9,Executions!$F$2:$F$500,"U")/$E9)</f>
        <v/>
      </c>
      <c r="H9" s="14" t="str">
        <f aca="false">IF(OR($A9="",$E9=0),"",IFERROR(AVERAGEIFS(Executions!$I$2:$I$500,Executions!$B$2:$B$500,$A9),""))</f>
        <v/>
      </c>
      <c r="I9" s="14" t="str">
        <f aca="false">IF(OR($A9="",$E9=0),"",_xlfn.MINIFS(Executions!$I$2:$I$500,Executions!$B$2:$B$500,$A9))</f>
        <v/>
      </c>
      <c r="J9" s="15" t="str">
        <f aca="false">IF($A9="","",IFERROR(AVERAGEIFS(ProbeResults!$D$2:$D$500,ProbeResults!$A$2:$A$500,$A9),"—"))</f>
        <v/>
      </c>
      <c r="K9" s="15" t="str">
        <f aca="false">IF($A9="","",IFERROR(AVERAGEIFS(ProbeResults!$D$2:$D$500,ProbeResults!$A$2:$A$500,$A9,ProbeResults!$B$2:$B$500,"P4"),"—"))</f>
        <v/>
      </c>
      <c r="L9" s="15" t="str">
        <f aca="false">IF($A9="","",IFERROR(AVERAGEIFS(ProbeResults!$D$2:$D$500,ProbeResults!$A$2:$A$500,$A9,ProbeResults!$B$2:$B$500,"P5"),"—"))</f>
        <v/>
      </c>
      <c r="M9" s="20" t="str">
        <f aca="false">IF($A9="","",COUNTIFS(Defects!$B$2:$B$300,$A9,Defects!$F$2:$F$300,"Blocker"))</f>
        <v/>
      </c>
      <c r="N9" s="10" t="str">
        <f aca="false">IF($A9="","",COUNTIFS(Defects!$B$2:$B$300,$A9,Defects!$F$2:$F$300,"Major"))</f>
        <v/>
      </c>
      <c r="O9" s="10" t="str">
        <f aca="false">IF($A9="","",COUNTIFS(Defects!$B$2:$B$300,$A9,Defects!$F$2:$F$300,"Minor"))</f>
        <v/>
      </c>
    </row>
    <row r="10" customFormat="false" ht="15" hidden="false" customHeight="true" outlineLevel="0" collapsed="false">
      <c r="A10" s="10" t="str">
        <f aca="false">IF(Runs!A8="","",Runs!A8)</f>
        <v/>
      </c>
      <c r="B10" s="10" t="str">
        <f aca="false">IF($A10="","",Runs!B8)</f>
        <v/>
      </c>
      <c r="C10" s="10" t="str">
        <f aca="false">IF($A10="","",Runs!C8)</f>
        <v/>
      </c>
      <c r="D10" s="10" t="str">
        <f aca="false">IF($A10="","",Runs!E8)</f>
        <v/>
      </c>
      <c r="E10" s="10" t="str">
        <f aca="false">IF($A10="","",COUNTIFS(Executions!$B$2:$B$500,$A10))</f>
        <v/>
      </c>
      <c r="F10" s="10" t="str">
        <f aca="false">IF($A10="","",SUMPRODUCT(--(COUNTIFS(Executions!$B$2:$B$500,$A10,Executions!$C$2:$C$500,Scripts!$A$2:$A$18)&gt;0)))</f>
        <v/>
      </c>
      <c r="G10" s="15" t="str">
        <f aca="false">IF(OR($A10="",$E10=0),"",COUNTIFS(Executions!$B$2:$B$500,$A10,Executions!$F$2:$F$500,"U")/$E10)</f>
        <v/>
      </c>
      <c r="H10" s="14" t="str">
        <f aca="false">IF(OR($A10="",$E10=0),"",IFERROR(AVERAGEIFS(Executions!$I$2:$I$500,Executions!$B$2:$B$500,$A10),""))</f>
        <v/>
      </c>
      <c r="I10" s="14" t="str">
        <f aca="false">IF(OR($A10="",$E10=0),"",_xlfn.MINIFS(Executions!$I$2:$I$500,Executions!$B$2:$B$500,$A10))</f>
        <v/>
      </c>
      <c r="J10" s="15" t="str">
        <f aca="false">IF($A10="","",IFERROR(AVERAGEIFS(ProbeResults!$D$2:$D$500,ProbeResults!$A$2:$A$500,$A10),"—"))</f>
        <v/>
      </c>
      <c r="K10" s="15" t="str">
        <f aca="false">IF($A10="","",IFERROR(AVERAGEIFS(ProbeResults!$D$2:$D$500,ProbeResults!$A$2:$A$500,$A10,ProbeResults!$B$2:$B$500,"P4"),"—"))</f>
        <v/>
      </c>
      <c r="L10" s="15" t="str">
        <f aca="false">IF($A10="","",IFERROR(AVERAGEIFS(ProbeResults!$D$2:$D$500,ProbeResults!$A$2:$A$500,$A10,ProbeResults!$B$2:$B$500,"P5"),"—"))</f>
        <v/>
      </c>
      <c r="M10" s="20" t="str">
        <f aca="false">IF($A10="","",COUNTIFS(Defects!$B$2:$B$300,$A10,Defects!$F$2:$F$300,"Blocker"))</f>
        <v/>
      </c>
      <c r="N10" s="10" t="str">
        <f aca="false">IF($A10="","",COUNTIFS(Defects!$B$2:$B$300,$A10,Defects!$F$2:$F$300,"Major"))</f>
        <v/>
      </c>
      <c r="O10" s="10" t="str">
        <f aca="false">IF($A10="","",COUNTIFS(Defects!$B$2:$B$300,$A10,Defects!$F$2:$F$300,"Minor"))</f>
        <v/>
      </c>
    </row>
    <row r="11" customFormat="false" ht="15" hidden="false" customHeight="true" outlineLevel="0" collapsed="false">
      <c r="A11" s="10" t="str">
        <f aca="false">IF(Runs!A9="","",Runs!A9)</f>
        <v/>
      </c>
      <c r="B11" s="10" t="str">
        <f aca="false">IF($A11="","",Runs!B9)</f>
        <v/>
      </c>
      <c r="C11" s="10" t="str">
        <f aca="false">IF($A11="","",Runs!C9)</f>
        <v/>
      </c>
      <c r="D11" s="10" t="str">
        <f aca="false">IF($A11="","",Runs!E9)</f>
        <v/>
      </c>
      <c r="E11" s="10" t="str">
        <f aca="false">IF($A11="","",COUNTIFS(Executions!$B$2:$B$500,$A11))</f>
        <v/>
      </c>
      <c r="F11" s="10" t="str">
        <f aca="false">IF($A11="","",SUMPRODUCT(--(COUNTIFS(Executions!$B$2:$B$500,$A11,Executions!$C$2:$C$500,Scripts!$A$2:$A$18)&gt;0)))</f>
        <v/>
      </c>
      <c r="G11" s="15" t="str">
        <f aca="false">IF(OR($A11="",$E11=0),"",COUNTIFS(Executions!$B$2:$B$500,$A11,Executions!$F$2:$F$500,"U")/$E11)</f>
        <v/>
      </c>
      <c r="H11" s="14" t="str">
        <f aca="false">IF(OR($A11="",$E11=0),"",IFERROR(AVERAGEIFS(Executions!$I$2:$I$500,Executions!$B$2:$B$500,$A11),""))</f>
        <v/>
      </c>
      <c r="I11" s="14" t="str">
        <f aca="false">IF(OR($A11="",$E11=0),"",_xlfn.MINIFS(Executions!$I$2:$I$500,Executions!$B$2:$B$500,$A11))</f>
        <v/>
      </c>
      <c r="J11" s="15" t="str">
        <f aca="false">IF($A11="","",IFERROR(AVERAGEIFS(ProbeResults!$D$2:$D$500,ProbeResults!$A$2:$A$500,$A11),"—"))</f>
        <v/>
      </c>
      <c r="K11" s="15" t="str">
        <f aca="false">IF($A11="","",IFERROR(AVERAGEIFS(ProbeResults!$D$2:$D$500,ProbeResults!$A$2:$A$500,$A11,ProbeResults!$B$2:$B$500,"P4"),"—"))</f>
        <v/>
      </c>
      <c r="L11" s="15" t="str">
        <f aca="false">IF($A11="","",IFERROR(AVERAGEIFS(ProbeResults!$D$2:$D$500,ProbeResults!$A$2:$A$500,$A11,ProbeResults!$B$2:$B$500,"P5"),"—"))</f>
        <v/>
      </c>
      <c r="M11" s="20" t="str">
        <f aca="false">IF($A11="","",COUNTIFS(Defects!$B$2:$B$300,$A11,Defects!$F$2:$F$300,"Blocker"))</f>
        <v/>
      </c>
      <c r="N11" s="10" t="str">
        <f aca="false">IF($A11="","",COUNTIFS(Defects!$B$2:$B$300,$A11,Defects!$F$2:$F$300,"Major"))</f>
        <v/>
      </c>
      <c r="O11" s="10" t="str">
        <f aca="false">IF($A11="","",COUNTIFS(Defects!$B$2:$B$300,$A11,Defects!$F$2:$F$300,"Minor"))</f>
        <v/>
      </c>
    </row>
    <row r="12" customFormat="false" ht="15" hidden="false" customHeight="true" outlineLevel="0" collapsed="false">
      <c r="A12" s="10" t="str">
        <f aca="false">IF(Runs!A10="","",Runs!A10)</f>
        <v/>
      </c>
      <c r="B12" s="10" t="str">
        <f aca="false">IF($A12="","",Runs!B10)</f>
        <v/>
      </c>
      <c r="C12" s="10" t="str">
        <f aca="false">IF($A12="","",Runs!C10)</f>
        <v/>
      </c>
      <c r="D12" s="10" t="str">
        <f aca="false">IF($A12="","",Runs!E10)</f>
        <v/>
      </c>
      <c r="E12" s="10" t="str">
        <f aca="false">IF($A12="","",COUNTIFS(Executions!$B$2:$B$500,$A12))</f>
        <v/>
      </c>
      <c r="F12" s="10" t="str">
        <f aca="false">IF($A12="","",SUMPRODUCT(--(COUNTIFS(Executions!$B$2:$B$500,$A12,Executions!$C$2:$C$500,Scripts!$A$2:$A$18)&gt;0)))</f>
        <v/>
      </c>
      <c r="G12" s="15" t="str">
        <f aca="false">IF(OR($A12="",$E12=0),"",COUNTIFS(Executions!$B$2:$B$500,$A12,Executions!$F$2:$F$500,"U")/$E12)</f>
        <v/>
      </c>
      <c r="H12" s="14" t="str">
        <f aca="false">IF(OR($A12="",$E12=0),"",IFERROR(AVERAGEIFS(Executions!$I$2:$I$500,Executions!$B$2:$B$500,$A12),""))</f>
        <v/>
      </c>
      <c r="I12" s="14" t="str">
        <f aca="false">IF(OR($A12="",$E12=0),"",_xlfn.MINIFS(Executions!$I$2:$I$500,Executions!$B$2:$B$500,$A12))</f>
        <v/>
      </c>
      <c r="J12" s="15" t="str">
        <f aca="false">IF($A12="","",IFERROR(AVERAGEIFS(ProbeResults!$D$2:$D$500,ProbeResults!$A$2:$A$500,$A12),"—"))</f>
        <v/>
      </c>
      <c r="K12" s="15" t="str">
        <f aca="false">IF($A12="","",IFERROR(AVERAGEIFS(ProbeResults!$D$2:$D$500,ProbeResults!$A$2:$A$500,$A12,ProbeResults!$B$2:$B$500,"P4"),"—"))</f>
        <v/>
      </c>
      <c r="L12" s="15" t="str">
        <f aca="false">IF($A12="","",IFERROR(AVERAGEIFS(ProbeResults!$D$2:$D$500,ProbeResults!$A$2:$A$500,$A12,ProbeResults!$B$2:$B$500,"P5"),"—"))</f>
        <v/>
      </c>
      <c r="M12" s="20" t="str">
        <f aca="false">IF($A12="","",COUNTIFS(Defects!$B$2:$B$300,$A12,Defects!$F$2:$F$300,"Blocker"))</f>
        <v/>
      </c>
      <c r="N12" s="10" t="str">
        <f aca="false">IF($A12="","",COUNTIFS(Defects!$B$2:$B$300,$A12,Defects!$F$2:$F$300,"Major"))</f>
        <v/>
      </c>
      <c r="O12" s="10" t="str">
        <f aca="false">IF($A12="","",COUNTIFS(Defects!$B$2:$B$300,$A12,Defects!$F$2:$F$300,"Minor"))</f>
        <v/>
      </c>
    </row>
    <row r="13" customFormat="false" ht="15" hidden="false" customHeight="true" outlineLevel="0" collapsed="false">
      <c r="A13" s="10" t="str">
        <f aca="false">IF(Runs!A11="","",Runs!A11)</f>
        <v/>
      </c>
      <c r="B13" s="10" t="str">
        <f aca="false">IF($A13="","",Runs!B11)</f>
        <v/>
      </c>
      <c r="C13" s="10" t="str">
        <f aca="false">IF($A13="","",Runs!C11)</f>
        <v/>
      </c>
      <c r="D13" s="10" t="str">
        <f aca="false">IF($A13="","",Runs!E11)</f>
        <v/>
      </c>
      <c r="E13" s="10" t="str">
        <f aca="false">IF($A13="","",COUNTIFS(Executions!$B$2:$B$500,$A13))</f>
        <v/>
      </c>
      <c r="F13" s="10" t="str">
        <f aca="false">IF($A13="","",SUMPRODUCT(--(COUNTIFS(Executions!$B$2:$B$500,$A13,Executions!$C$2:$C$500,Scripts!$A$2:$A$18)&gt;0)))</f>
        <v/>
      </c>
      <c r="G13" s="15" t="str">
        <f aca="false">IF(OR($A13="",$E13=0),"",COUNTIFS(Executions!$B$2:$B$500,$A13,Executions!$F$2:$F$500,"U")/$E13)</f>
        <v/>
      </c>
      <c r="H13" s="14" t="str">
        <f aca="false">IF(OR($A13="",$E13=0),"",IFERROR(AVERAGEIFS(Executions!$I$2:$I$500,Executions!$B$2:$B$500,$A13),""))</f>
        <v/>
      </c>
      <c r="I13" s="14" t="str">
        <f aca="false">IF(OR($A13="",$E13=0),"",_xlfn.MINIFS(Executions!$I$2:$I$500,Executions!$B$2:$B$500,$A13))</f>
        <v/>
      </c>
      <c r="J13" s="15" t="str">
        <f aca="false">IF($A13="","",IFERROR(AVERAGEIFS(ProbeResults!$D$2:$D$500,ProbeResults!$A$2:$A$500,$A13),"—"))</f>
        <v/>
      </c>
      <c r="K13" s="15" t="str">
        <f aca="false">IF($A13="","",IFERROR(AVERAGEIFS(ProbeResults!$D$2:$D$500,ProbeResults!$A$2:$A$500,$A13,ProbeResults!$B$2:$B$500,"P4"),"—"))</f>
        <v/>
      </c>
      <c r="L13" s="15" t="str">
        <f aca="false">IF($A13="","",IFERROR(AVERAGEIFS(ProbeResults!$D$2:$D$500,ProbeResults!$A$2:$A$500,$A13,ProbeResults!$B$2:$B$500,"P5"),"—"))</f>
        <v/>
      </c>
      <c r="M13" s="20" t="str">
        <f aca="false">IF($A13="","",COUNTIFS(Defects!$B$2:$B$300,$A13,Defects!$F$2:$F$300,"Blocker"))</f>
        <v/>
      </c>
      <c r="N13" s="10" t="str">
        <f aca="false">IF($A13="","",COUNTIFS(Defects!$B$2:$B$300,$A13,Defects!$F$2:$F$300,"Major"))</f>
        <v/>
      </c>
      <c r="O13" s="10" t="str">
        <f aca="false">IF($A13="","",COUNTIFS(Defects!$B$2:$B$300,$A13,Defects!$F$2:$F$300,"Minor"))</f>
        <v/>
      </c>
    </row>
  </sheetData>
  <conditionalFormatting sqref="G4:G13">
    <cfRule type="expression" priority="2" aboveAverage="0" equalAverage="0" bottom="0" percent="0" rank="0" text="" dxfId="1">
      <formula>AND(ISNUMBER(G4),G4&lt;$G$2)</formula>
    </cfRule>
  </conditionalFormatting>
  <conditionalFormatting sqref="H4:H13">
    <cfRule type="expression" priority="3" aboveAverage="0" equalAverage="0" bottom="0" percent="0" rank="0" text="" dxfId="1">
      <formula>AND(ISNUMBER(H4),H4&lt;$H$2)</formula>
    </cfRule>
  </conditionalFormatting>
  <conditionalFormatting sqref="I4:I13">
    <cfRule type="expression" priority="4" aboveAverage="0" equalAverage="0" bottom="0" percent="0" rank="0" text="" dxfId="1">
      <formula>AND(ISNUMBER(I4),I4&lt;$I$2)</formula>
    </cfRule>
  </conditionalFormatting>
  <conditionalFormatting sqref="J4:J13">
    <cfRule type="expression" priority="5" aboveAverage="0" equalAverage="0" bottom="0" percent="0" rank="0" text="" dxfId="1">
      <formula>AND(ISNUMBER(J4),J4&lt;$J$2)</formula>
    </cfRule>
  </conditionalFormatting>
  <conditionalFormatting sqref="K4:K13">
    <cfRule type="expression" priority="6" aboveAverage="0" equalAverage="0" bottom="0" percent="0" rank="0" text="" dxfId="1">
      <formula>AND(ISNUMBER(K4),K4&lt;$K$2)</formula>
    </cfRule>
  </conditionalFormatting>
  <conditionalFormatting sqref="L4:L13">
    <cfRule type="expression" priority="7" aboveAverage="0" equalAverage="0" bottom="0" percent="0" rank="0" text="" dxfId="1">
      <formula>AND(ISNUMBER(L4),L4&lt;$L$2)</formula>
    </cfRule>
  </conditionalFormatting>
  <conditionalFormatting sqref="M4:M13">
    <cfRule type="expression" priority="8" aboveAverage="0" equalAverage="0" bottom="0" percent="0" rank="0" text="" dxfId="0">
      <formula>AND(ISNUMBER(M4),M4&gt;$M$2)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2026-07-22T05:08:26Z</dcterms:created>
  <dc:creator>openpyxl</dc:creator>
  <dc:description/>
  <dc:language>en-US</dc:language>
  <cp:lastModifiedBy/>
  <dcterms:modified xsi:type="dcterms:W3CDTF">2026-07-22T05:08:51Z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